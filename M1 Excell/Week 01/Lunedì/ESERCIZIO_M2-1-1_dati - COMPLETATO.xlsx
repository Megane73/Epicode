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cuments\Epicode 12-25\M1  Excel\Week 01\01 - Lunedì\"/>
    </mc:Choice>
  </mc:AlternateContent>
  <xr:revisionPtr revIDLastSave="0" documentId="13_ncr:1_{5AE6ABA1-7367-4952-B6AC-67CD291142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Fatture!$C$1:$C$1000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Assoluti_Iva!$F$1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81029"/>
  <extLs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2" i="2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162" i="1"/>
  <c r="E150" i="1"/>
  <c r="C3" i="2"/>
  <c r="C4" i="2"/>
  <c r="C5" i="2"/>
  <c r="C6" i="2"/>
  <c r="C7" i="2"/>
  <c r="C8" i="2"/>
  <c r="C2" i="2"/>
  <c r="E132" i="1"/>
  <c r="E128" i="1"/>
  <c r="E116" i="1"/>
  <c r="E107" i="1"/>
  <c r="E103" i="1"/>
  <c r="E78" i="1"/>
  <c r="E62" i="1"/>
  <c r="E36" i="1"/>
  <c r="E19" i="1"/>
  <c r="E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7" i="1"/>
  <c r="D18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4" i="1"/>
  <c r="D105" i="1"/>
  <c r="D106" i="1"/>
  <c r="D108" i="1"/>
  <c r="D109" i="1"/>
  <c r="D110" i="1"/>
  <c r="D111" i="1"/>
  <c r="D112" i="1"/>
  <c r="D113" i="1"/>
  <c r="D114" i="1"/>
  <c r="D115" i="1"/>
  <c r="D117" i="1"/>
  <c r="D118" i="1"/>
  <c r="D119" i="1"/>
  <c r="D120" i="1"/>
  <c r="D121" i="1"/>
  <c r="D122" i="1"/>
  <c r="D123" i="1"/>
  <c r="D124" i="1"/>
  <c r="D125" i="1"/>
  <c r="D126" i="1"/>
  <c r="D127" i="1"/>
  <c r="D129" i="1"/>
  <c r="D130" i="1"/>
  <c r="D131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1" i="1"/>
  <c r="D152" i="1"/>
  <c r="D153" i="1"/>
  <c r="D154" i="1"/>
  <c r="D155" i="1"/>
  <c r="D156" i="1"/>
  <c r="D157" i="1"/>
  <c r="D158" i="1"/>
  <c r="D159" i="1"/>
  <c r="D160" i="1"/>
  <c r="D161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5" i="1"/>
  <c r="D186" i="1"/>
  <c r="D187" i="1"/>
  <c r="D188" i="1"/>
  <c r="D189" i="1"/>
  <c r="D190" i="1"/>
  <c r="D191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5" i="1"/>
  <c r="D316" i="1"/>
  <c r="D317" i="1"/>
  <c r="D318" i="1"/>
  <c r="D319" i="1"/>
  <c r="D320" i="1"/>
  <c r="D321" i="1"/>
  <c r="D322" i="1"/>
  <c r="D323" i="1"/>
  <c r="D324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  <c r="N3" i="3"/>
  <c r="N4" i="3"/>
  <c r="N5" i="3"/>
  <c r="N2" i="3"/>
  <c r="Q8" i="3"/>
  <c r="K8" i="3"/>
  <c r="Q7" i="3"/>
  <c r="K7" i="3"/>
  <c r="Q6" i="3"/>
  <c r="K6" i="3"/>
  <c r="Q5" i="3"/>
  <c r="K5" i="3"/>
  <c r="H5" i="3"/>
  <c r="Q4" i="3"/>
  <c r="K4" i="3"/>
  <c r="H4" i="3"/>
  <c r="Q3" i="3"/>
  <c r="K3" i="3"/>
  <c r="H3" i="3"/>
  <c r="Q2" i="3"/>
  <c r="K2" i="3"/>
  <c r="H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7" i="1"/>
  <c r="E1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4" i="1"/>
  <c r="E105" i="1"/>
  <c r="E106" i="1"/>
  <c r="E108" i="1"/>
  <c r="E109" i="1"/>
  <c r="E110" i="1"/>
  <c r="E111" i="1"/>
  <c r="E112" i="1"/>
  <c r="E113" i="1"/>
  <c r="E114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9" i="1"/>
  <c r="E130" i="1"/>
  <c r="E131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1" i="1"/>
  <c r="E152" i="1"/>
  <c r="E153" i="1"/>
  <c r="E154" i="1"/>
  <c r="E155" i="1"/>
  <c r="E156" i="1"/>
  <c r="E157" i="1"/>
  <c r="E158" i="1"/>
  <c r="E159" i="1"/>
  <c r="E160" i="1"/>
  <c r="E161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2" i="1"/>
</calcChain>
</file>

<file path=xl/sharedStrings.xml><?xml version="1.0" encoding="utf-8"?>
<sst xmlns="http://schemas.openxmlformats.org/spreadsheetml/2006/main" count="837" uniqueCount="581">
  <si>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</si>
  <si>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</si>
  <si>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</si>
  <si>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</si>
  <si>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</si>
  <si>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</si>
  <si>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</si>
  <si>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</si>
  <si>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</si>
  <si>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</si>
  <si>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</si>
  <si>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</si>
  <si>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</si>
  <si>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</si>
  <si>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</si>
  <si>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</si>
  <si>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</si>
  <si>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</si>
  <si>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</si>
  <si>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</si>
  <si>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</si>
  <si>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</si>
  <si>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</si>
  <si>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</si>
  <si>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</si>
  <si>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</si>
  <si>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</si>
  <si>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</si>
  <si>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</si>
  <si>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</si>
  <si>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</si>
  <si>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</si>
  <si>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</si>
  <si>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</si>
  <si>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</si>
  <si>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</si>
  <si>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</si>
  <si>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</si>
  <si>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</si>
  <si>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</si>
  <si>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</si>
  <si>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</si>
  <si>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</si>
  <si>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</si>
  <si>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</si>
  <si>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</si>
  <si>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</si>
  <si>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</si>
  <si>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</si>
  <si>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</si>
  <si>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</si>
  <si>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</si>
  <si>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</si>
  <si>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</si>
  <si>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</si>
  <si>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</si>
  <si>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</si>
  <si>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</si>
  <si>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</si>
  <si>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</si>
  <si>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</si>
  <si>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</si>
  <si>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</si>
  <si>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</si>
  <si>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</si>
  <si>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</si>
  <si>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</si>
  <si>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</si>
  <si>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</si>
  <si>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</si>
  <si>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</si>
  <si>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</si>
  <si>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</si>
  <si>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</si>
  <si>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</si>
  <si>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</si>
  <si>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</si>
  <si>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</si>
  <si>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</si>
  <si>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</si>
  <si>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</si>
  <si>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</si>
  <si>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</si>
  <si>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</si>
  <si>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</si>
  <si>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</si>
  <si>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</si>
  <si>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</si>
  <si>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</si>
  <si>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</si>
  <si>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</si>
  <si>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</si>
  <si>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</si>
  <si>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</si>
  <si>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</si>
  <si>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</si>
  <si>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</si>
  <si>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</si>
  <si>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</si>
  <si>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</si>
  <si>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</si>
  <si>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</si>
  <si>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</si>
  <si>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</si>
  <si>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</si>
  <si>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</si>
  <si>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</si>
  <si>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</si>
  <si>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</si>
  <si>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</si>
  <si>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</si>
  <si>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</si>
  <si>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</si>
  <si>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</si>
  <si>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</si>
  <si>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</si>
  <si>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</si>
  <si>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</si>
  <si>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</si>
  <si>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</si>
  <si>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</si>
  <si>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</si>
  <si>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</si>
  <si>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</si>
  <si>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</si>
  <si>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</si>
  <si>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</si>
  <si>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</si>
  <si>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</si>
  <si>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</si>
  <si>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</si>
  <si>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</si>
  <si>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</si>
  <si>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</si>
  <si>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</si>
  <si>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</si>
  <si>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</si>
  <si>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</si>
  <si>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</si>
  <si>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</si>
  <si>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</si>
  <si>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</si>
  <si>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</si>
  <si>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</si>
  <si>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</si>
  <si>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</si>
  <si>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</si>
  <si>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</si>
  <si>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</si>
  <si>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</si>
  <si>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</si>
  <si>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</si>
  <si>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</si>
  <si>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</si>
  <si>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</si>
  <si>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</si>
  <si>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</si>
  <si>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</si>
  <si>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</si>
  <si>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</si>
  <si>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</si>
  <si>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</si>
  <si>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</si>
  <si>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</si>
  <si>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</si>
  <si>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</si>
  <si>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</si>
  <si>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</si>
  <si>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</si>
  <si>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</si>
  <si>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</si>
  <si>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</si>
  <si>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</si>
  <si>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</si>
  <si>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</si>
  <si>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</si>
  <si>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</si>
  <si>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</si>
  <si>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</si>
  <si>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</si>
  <si>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</si>
  <si>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</si>
  <si>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</si>
  <si>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</si>
  <si>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</si>
  <si>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</si>
  <si>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</si>
  <si>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</si>
  <si>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</si>
  <si>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</si>
  <si>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</si>
  <si>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</si>
  <si>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</si>
  <si>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</si>
  <si>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</si>
  <si>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</si>
  <si>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</si>
  <si>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</si>
  <si>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</si>
  <si>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</si>
  <si>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</si>
  <si>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</si>
  <si>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</si>
  <si>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</si>
  <si>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</si>
  <si>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</si>
  <si>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</si>
  <si>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</si>
  <si>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</si>
  <si>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</si>
  <si>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</si>
  <si>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</si>
  <si>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</si>
  <si>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</si>
  <si>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</si>
  <si>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</si>
  <si>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</si>
  <si>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</si>
  <si>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</si>
  <si>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</si>
  <si>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</si>
  <si>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</si>
  <si>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</si>
  <si>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</si>
  <si>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</si>
  <si>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</si>
  <si>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</si>
  <si>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</si>
  <si>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</si>
  <si>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</si>
  <si>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</si>
  <si>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</si>
  <si>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</si>
  <si>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</si>
  <si>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</si>
  <si>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</si>
  <si>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</si>
  <si>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</si>
  <si>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</si>
  <si>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</si>
  <si>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</si>
  <si>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</si>
  <si>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</si>
  <si>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</si>
  <si>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</si>
  <si>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</si>
  <si>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</si>
  <si>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</si>
  <si>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</si>
  <si>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</si>
  <si>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</si>
  <si>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</si>
  <si>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</si>
  <si>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</si>
  <si>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</si>
  <si>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</si>
  <si>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</si>
  <si>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</si>
  <si>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</si>
  <si>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</si>
  <si>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</si>
  <si>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</si>
  <si>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</si>
  <si>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</si>
  <si>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</si>
  <si>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</si>
  <si>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</si>
  <si>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</si>
  <si>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</si>
  <si>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</si>
  <si>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</si>
  <si>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</si>
  <si>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</si>
  <si>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</si>
  <si>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</si>
  <si>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</si>
  <si>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</si>
  <si>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</si>
  <si>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</si>
  <si>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</si>
  <si>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</si>
  <si>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</si>
  <si>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</si>
  <si>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</si>
  <si>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</si>
  <si>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</si>
  <si>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</si>
  <si>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</si>
  <si>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</si>
  <si>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</si>
  <si>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</si>
  <si>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</si>
  <si>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</si>
  <si>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</si>
  <si>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</si>
  <si>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</si>
  <si>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</si>
  <si>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</si>
  <si>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</si>
  <si>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</si>
  <si>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</si>
  <si>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</si>
  <si>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</si>
  <si>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</si>
  <si>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</si>
  <si>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</si>
  <si>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</si>
  <si>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</si>
  <si>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</si>
  <si>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</si>
  <si>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</si>
  <si>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</si>
  <si>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</si>
  <si>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</si>
  <si>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</si>
  <si>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</si>
  <si>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</si>
  <si>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</si>
  <si>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</si>
  <si>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</si>
  <si>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</si>
  <si>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</si>
  <si>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</si>
  <si>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</si>
  <si>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</si>
  <si>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</si>
  <si>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</si>
  <si>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</si>
  <si>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</si>
  <si>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</si>
  <si>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</si>
  <si>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</si>
  <si>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</si>
  <si>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</si>
  <si>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</si>
  <si>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</si>
  <si>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</si>
  <si>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</si>
  <si>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</si>
  <si>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</si>
  <si>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</si>
  <si>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</si>
  <si>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</si>
  <si>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</si>
  <si>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</si>
  <si>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</si>
  <si>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</si>
  <si>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</si>
  <si>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</si>
  <si>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</si>
  <si>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</si>
  <si>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</si>
  <si>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</si>
  <si>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</si>
  <si>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</si>
  <si>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</si>
  <si>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</si>
  <si>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</si>
  <si>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</si>
  <si>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</si>
  <si>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</si>
  <si>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</si>
  <si>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</si>
  <si>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</si>
  <si>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</si>
  <si>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</si>
  <si>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</si>
  <si>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</si>
  <si>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</si>
  <si>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</si>
  <si>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</si>
  <si>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</si>
  <si>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</si>
  <si>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</si>
  <si>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</si>
  <si>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</si>
  <si>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</si>
  <si>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</si>
  <si>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</si>
  <si>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</si>
  <si>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</si>
  <si>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</si>
  <si>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</si>
  <si>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</si>
  <si>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</si>
  <si>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</si>
  <si>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</si>
  <si>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</si>
  <si>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</si>
  <si>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</si>
  <si>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</si>
  <si>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</si>
  <si>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</si>
  <si>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</si>
  <si>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</si>
  <si>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</si>
  <si>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</si>
  <si>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</si>
  <si>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</si>
  <si>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</si>
  <si>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</si>
  <si>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</si>
  <si>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</si>
  <si>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</si>
  <si>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</si>
  <si>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</si>
  <si>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</si>
  <si>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</si>
  <si>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</si>
  <si>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</si>
  <si>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</si>
  <si>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</si>
  <si>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</si>
  <si>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</si>
  <si>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</si>
  <si>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</si>
  <si>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</si>
  <si>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</si>
  <si>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</si>
  <si>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</si>
  <si>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</si>
  <si>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</si>
  <si>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</si>
  <si>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</si>
  <si>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</si>
  <si>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</si>
  <si>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</si>
  <si>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</si>
  <si>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</si>
  <si>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</si>
  <si>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</si>
  <si>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</si>
  <si>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</si>
  <si>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</si>
  <si>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</si>
  <si>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</si>
  <si>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</si>
  <si>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</si>
  <si>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</si>
  <si>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</si>
  <si>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</si>
  <si>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</si>
  <si>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</si>
  <si>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</si>
  <si>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</si>
  <si>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</si>
  <si>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</si>
  <si>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</si>
  <si>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</si>
  <si>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</si>
  <si>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</si>
  <si>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</si>
  <si>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</si>
  <si>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</si>
  <si>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</si>
  <si>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</si>
  <si>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</si>
  <si>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</si>
  <si>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</si>
  <si>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</si>
  <si>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</si>
  <si>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</si>
  <si>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</si>
  <si>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</si>
  <si>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</si>
  <si>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</si>
  <si>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</si>
  <si>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</si>
  <si>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</si>
  <si>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</si>
  <si>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</si>
  <si>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</si>
  <si>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</si>
  <si>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</si>
  <si>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</si>
  <si>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</si>
  <si>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</si>
  <si>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</si>
  <si>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</si>
  <si>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</si>
  <si>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</si>
  <si>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</si>
  <si>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</si>
  <si>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</si>
  <si>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</si>
  <si>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</si>
  <si>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</si>
  <si>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</si>
  <si>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</si>
  <si>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</si>
  <si>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</si>
  <si>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</si>
  <si>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</si>
  <si>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</si>
  <si>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</si>
  <si>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</si>
  <si>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</si>
  <si>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</si>
  <si>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</si>
  <si>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</si>
  <si>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</si>
  <si>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</si>
  <si>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</si>
  <si>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</si>
  <si>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</si>
  <si>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</si>
  <si>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</si>
  <si>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</si>
  <si>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</si>
  <si>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</si>
  <si>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</si>
  <si>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</si>
  <si>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</si>
  <si>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</si>
  <si>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</si>
  <si>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</si>
  <si>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</si>
  <si>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</si>
  <si>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</si>
  <si>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</si>
  <si>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</si>
  <si>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</si>
  <si>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</si>
  <si>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</si>
  <si>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</si>
  <si>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</si>
  <si>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</si>
  <si>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</si>
  <si>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</si>
  <si>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</si>
  <si>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</si>
  <si>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</si>
  <si>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</si>
  <si>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</si>
  <si>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</si>
  <si>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</si>
  <si>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</si>
  <si>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</si>
  <si>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</si>
  <si>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</si>
  <si>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</si>
  <si>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</si>
  <si>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</si>
  <si>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</si>
  <si>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</si>
  <si>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</si>
  <si>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</si>
  <si>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</si>
  <si>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</si>
  <si>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</si>
  <si>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</si>
  <si>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</si>
  <si>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</si>
  <si>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</si>
  <si>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</si>
  <si>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</si>
  <si>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</si>
  <si>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</si>
  <si>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</si>
  <si>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</si>
  <si>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</si>
  <si>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</si>
  <si>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</si>
  <si>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</si>
  <si>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</si>
  <si>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</si>
  <si>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</si>
  <si>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</si>
  <si>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</si>
  <si>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</si>
  <si>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NOME PRODOTTO</t>
  </si>
  <si>
    <t>Giudizio</t>
  </si>
  <si>
    <t>Respinto</t>
  </si>
  <si>
    <t>Sufficiente</t>
  </si>
  <si>
    <t>Discreto</t>
  </si>
  <si>
    <t>Buono</t>
  </si>
  <si>
    <t xml:space="preserve">N. Fatture </t>
  </si>
  <si>
    <t>Clienti</t>
  </si>
  <si>
    <t>Fatturato</t>
  </si>
  <si>
    <t>CERCA.VERT</t>
  </si>
  <si>
    <t>CERCA.X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</si>
</sst>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14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4" fontId="1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1" xfId="0" applyFont="1" applyBorder="1"/>
    <xf numFmtId="0" fontId="13" fillId="0" borderId="0" xfId="0" applyFont="1"/>
    <xf numFmtId="44" fontId="9" fillId="0" borderId="0" xfId="0" applyNumberFormat="1" applyFont="1"/>
    <xf numFmtId="44" fontId="0" fillId="0" borderId="0" xfId="1" applyFont="1"/>
    <xf numFmtId="0" fontId="9" fillId="0" borderId="0" xfId="0" applyFont="1"/>
    <xf numFmtId="0" fontId="3" fillId="2" borderId="0" xfId="0" applyFont="1" applyFill="1" applyAlignment="1">
      <alignment horizontal="center" vertical="center"/>
    </xf>
  </cellXfs>
  <cellStyles count="2">
    <cellStyle name="Normale" xfId="0" builtinId="0"/>
    <cellStyle name="Valuta" xfId="1" builtinId="4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4D950BAB-BC30-4676-A4F6-19F41FF85411}" name="Colonna1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7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" customHeight="1" x14ac:dyDescent="0.2"/>
  <cols>
    <col min="1" max="1" width="42.140625" bestFit="1" customWidth="1"/>
    <col min="2" max="2" width="57.140625" bestFit="1" customWidth="1"/>
    <col min="3" max="3" width="25.28515625" bestFit="1" customWidth="1"/>
    <col min="4" max="4" width="14.5703125" bestFit="1" customWidth="1"/>
    <col min="5" max="5" width="92.140625" bestFit="1" customWidth="1"/>
    <col min="6" max="6" width="7.140625" customWidth="1"/>
    <col min="7" max="25" width="8.7109375" customWidth="1"/>
  </cols>
  <sheetData>
    <row r="1" spans="1:25" ht="12.75" customHeight="1" x14ac:dyDescent="0.2">
      <c r="A1" s="1" t="s">
        <v>0</v>
      </c>
      <c r="B1" s="1" t="s">
        <v>1</v>
      </c>
      <c r="C1" s="2" t="s">
        <v>2</v>
      </c>
      <c r="D1" s="15" t="s">
        <v>569</v>
      </c>
      <c r="E1" s="1" t="s">
        <v>570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2.75" customHeight="1" x14ac:dyDescent="0.2">
      <c r="A2" s="4" t="s">
        <v>3</v>
      </c>
      <c r="B2" s="4" t="s">
        <v>4</v>
      </c>
      <c r="C2" s="5">
        <v>281000</v>
      </c>
      <c r="D2" s="5">
        <f>C2*0.16</f>
        <v>44960</v>
      </c>
      <c r="E2" s="4" t="str">
        <f>CONCATENATE(A2,"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2.75" customHeight="1" x14ac:dyDescent="0.2">
      <c r="A3" s="4" t="s">
        <v>5</v>
      </c>
      <c r="B3" s="4" t="s">
        <v>6</v>
      </c>
      <c r="C3" s="5">
        <v>323000</v>
      </c>
      <c r="D3" s="5">
        <f t="shared" ref="D3:D66" si="0">C3*0.16</f>
        <v>51680</v>
      </c>
      <c r="E3" s="4" t="str">
        <f t="shared" ref="E3:E66" si="1">CONCATENATE(A3,"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2.75" customHeight="1" x14ac:dyDescent="0.2">
      <c r="A4" s="4" t="s">
        <v>7</v>
      </c>
      <c r="B4" s="4" t="s">
        <v>8</v>
      </c>
      <c r="C4" s="5">
        <v>344000</v>
      </c>
      <c r="D4" s="5">
        <f t="shared" si="0"/>
        <v>55040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2.75" customHeight="1" x14ac:dyDescent="0.2">
      <c r="A5" s="4" t="s">
        <v>9</v>
      </c>
      <c r="B5" s="4" t="s">
        <v>10</v>
      </c>
      <c r="C5" s="5">
        <v>361000</v>
      </c>
      <c r="D5" s="5">
        <f t="shared" si="0"/>
        <v>57760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2.75" customHeight="1" x14ac:dyDescent="0.2">
      <c r="A6" s="4" t="s">
        <v>11</v>
      </c>
      <c r="B6" s="4" t="s">
        <v>12</v>
      </c>
      <c r="C6" s="5">
        <v>521000</v>
      </c>
      <c r="D6" s="5">
        <f t="shared" si="0"/>
        <v>83360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2.75" customHeight="1" x14ac:dyDescent="0.2">
      <c r="A7" s="4" t="s">
        <v>13</v>
      </c>
      <c r="B7" s="4" t="s">
        <v>14</v>
      </c>
      <c r="C7" s="5">
        <v>527000</v>
      </c>
      <c r="D7" s="5">
        <f t="shared" si="0"/>
        <v>84320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2.75" customHeight="1" x14ac:dyDescent="0.2">
      <c r="A8" s="4" t="s">
        <v>15</v>
      </c>
      <c r="B8" s="4" t="s">
        <v>16</v>
      </c>
      <c r="C8" s="5">
        <v>626000</v>
      </c>
      <c r="D8" s="5">
        <f t="shared" si="0"/>
        <v>100160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2.75" customHeight="1" x14ac:dyDescent="0.2">
      <c r="A9" s="4" t="s">
        <v>17</v>
      </c>
      <c r="B9" s="4" t="s">
        <v>18</v>
      </c>
      <c r="C9" s="5">
        <v>656000</v>
      </c>
      <c r="D9" s="5">
        <f t="shared" si="0"/>
        <v>104960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4" t="s">
        <v>19</v>
      </c>
      <c r="B10" s="4" t="s">
        <v>20</v>
      </c>
      <c r="C10" s="5">
        <v>666000</v>
      </c>
      <c r="D10" s="5">
        <f t="shared" si="0"/>
        <v>106560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2.75" customHeight="1" x14ac:dyDescent="0.2">
      <c r="A11" s="4" t="s">
        <v>21</v>
      </c>
      <c r="B11" s="4" t="s">
        <v>22</v>
      </c>
      <c r="C11" s="5">
        <v>882000</v>
      </c>
      <c r="D11" s="5">
        <f t="shared" si="0"/>
        <v>141120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2.75" customHeight="1" x14ac:dyDescent="0.2">
      <c r="A12" s="4" t="s">
        <v>23</v>
      </c>
      <c r="B12" s="4" t="s">
        <v>24</v>
      </c>
      <c r="C12" s="5">
        <v>1108000</v>
      </c>
      <c r="D12" s="5">
        <f t="shared" si="0"/>
        <v>177280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 t="s">
        <v>25</v>
      </c>
      <c r="B13" s="4" t="s">
        <v>26</v>
      </c>
      <c r="C13" s="5">
        <v>1316000</v>
      </c>
      <c r="D13" s="5">
        <f t="shared" si="0"/>
        <v>210560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customHeight="1" x14ac:dyDescent="0.2">
      <c r="A14" s="4" t="s">
        <v>27</v>
      </c>
      <c r="B14" s="4" t="s">
        <v>28</v>
      </c>
      <c r="C14" s="5">
        <v>1594000</v>
      </c>
      <c r="D14" s="5">
        <f t="shared" si="0"/>
        <v>255040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2.75" customHeight="1" x14ac:dyDescent="0.2">
      <c r="A15" s="4" t="s">
        <v>29</v>
      </c>
      <c r="B15" s="4" t="s">
        <v>30</v>
      </c>
      <c r="C15" s="5">
        <v>2719000</v>
      </c>
      <c r="D15" s="5">
        <f t="shared" si="0"/>
        <v>435040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2.75" customHeight="1" x14ac:dyDescent="0.2">
      <c r="A16" s="4" t="s">
        <v>31</v>
      </c>
      <c r="B16" s="4"/>
      <c r="C16" s="5"/>
      <c r="D16" s="5"/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customHeight="1" x14ac:dyDescent="0.2">
      <c r="A17" s="4" t="s">
        <v>32</v>
      </c>
      <c r="B17" s="4" t="s">
        <v>33</v>
      </c>
      <c r="C17" s="5">
        <v>4092000</v>
      </c>
      <c r="D17" s="5">
        <f t="shared" si="0"/>
        <v>654720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customHeight="1" x14ac:dyDescent="0.2">
      <c r="A18" s="4" t="s">
        <v>34</v>
      </c>
      <c r="B18" s="4" t="s">
        <v>35</v>
      </c>
      <c r="C18" s="5">
        <v>13859000</v>
      </c>
      <c r="D18" s="5">
        <f t="shared" si="0"/>
        <v>2217440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customHeight="1" x14ac:dyDescent="0.2">
      <c r="A19" s="4" t="s">
        <v>36</v>
      </c>
      <c r="B19" s="4"/>
      <c r="C19" s="5"/>
      <c r="D19" s="5"/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customHeight="1" x14ac:dyDescent="0.2">
      <c r="A20" s="4" t="s">
        <v>37</v>
      </c>
      <c r="B20" s="4" t="s">
        <v>38</v>
      </c>
      <c r="C20" s="5">
        <v>167000</v>
      </c>
      <c r="D20" s="5">
        <f t="shared" si="0"/>
        <v>26720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customHeight="1" x14ac:dyDescent="0.2">
      <c r="A21" s="4" t="s">
        <v>39</v>
      </c>
      <c r="B21" s="4" t="s">
        <v>40</v>
      </c>
      <c r="C21" s="5">
        <v>202000</v>
      </c>
      <c r="D21" s="5">
        <f t="shared" si="0"/>
        <v>32320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customHeight="1" x14ac:dyDescent="0.2">
      <c r="A22" s="4" t="s">
        <v>41</v>
      </c>
      <c r="B22" s="4" t="s">
        <v>42</v>
      </c>
      <c r="C22" s="5">
        <v>203000</v>
      </c>
      <c r="D22" s="5">
        <f t="shared" si="0"/>
        <v>32480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4" t="s">
        <v>43</v>
      </c>
      <c r="B23" s="4" t="s">
        <v>40</v>
      </c>
      <c r="C23" s="5">
        <v>234000</v>
      </c>
      <c r="D23" s="5">
        <f t="shared" si="0"/>
        <v>37440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4" t="s">
        <v>44</v>
      </c>
      <c r="B24" s="4" t="s">
        <v>45</v>
      </c>
      <c r="C24" s="5">
        <v>252000</v>
      </c>
      <c r="D24" s="5">
        <f t="shared" si="0"/>
        <v>40320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4" t="s">
        <v>46</v>
      </c>
      <c r="B25" s="4" t="s">
        <v>40</v>
      </c>
      <c r="C25" s="5">
        <v>259000</v>
      </c>
      <c r="D25" s="5">
        <f t="shared" si="0"/>
        <v>41440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4" t="s">
        <v>47</v>
      </c>
      <c r="B26" s="4" t="s">
        <v>48</v>
      </c>
      <c r="C26" s="5">
        <v>269000</v>
      </c>
      <c r="D26" s="5">
        <f t="shared" si="0"/>
        <v>43040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4" t="s">
        <v>49</v>
      </c>
      <c r="B27" s="4" t="s">
        <v>50</v>
      </c>
      <c r="C27" s="5">
        <v>271000</v>
      </c>
      <c r="D27" s="5">
        <f t="shared" si="0"/>
        <v>43360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4" t="s">
        <v>51</v>
      </c>
      <c r="B28" s="4" t="s">
        <v>52</v>
      </c>
      <c r="C28" s="5">
        <v>292000</v>
      </c>
      <c r="D28" s="5">
        <f t="shared" si="0"/>
        <v>46720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4" t="s">
        <v>53</v>
      </c>
      <c r="B29" s="4" t="s">
        <v>54</v>
      </c>
      <c r="C29" s="5">
        <v>293000</v>
      </c>
      <c r="D29" s="5">
        <f t="shared" si="0"/>
        <v>46880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4" t="s">
        <v>55</v>
      </c>
      <c r="B30" s="4" t="s">
        <v>40</v>
      </c>
      <c r="C30" s="5">
        <v>307000</v>
      </c>
      <c r="D30" s="5">
        <f t="shared" si="0"/>
        <v>49120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4" t="s">
        <v>56</v>
      </c>
      <c r="B31" s="4" t="s">
        <v>57</v>
      </c>
      <c r="C31" s="5">
        <v>440000</v>
      </c>
      <c r="D31" s="5">
        <f t="shared" si="0"/>
        <v>70400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4" t="s">
        <v>58</v>
      </c>
      <c r="B32" s="4" t="s">
        <v>59</v>
      </c>
      <c r="C32" s="5">
        <v>487000</v>
      </c>
      <c r="D32" s="5">
        <f t="shared" si="0"/>
        <v>77920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4" t="s">
        <v>60</v>
      </c>
      <c r="B33" s="4" t="s">
        <v>61</v>
      </c>
      <c r="C33" s="5">
        <v>566000</v>
      </c>
      <c r="D33" s="5">
        <f t="shared" si="0"/>
        <v>90560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4" t="s">
        <v>62</v>
      </c>
      <c r="B34" s="4" t="s">
        <v>59</v>
      </c>
      <c r="C34" s="5">
        <v>802000</v>
      </c>
      <c r="D34" s="5">
        <f t="shared" si="0"/>
        <v>128320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 t="s">
        <v>63</v>
      </c>
      <c r="B35" s="4" t="s">
        <v>64</v>
      </c>
      <c r="C35" s="5">
        <v>1579000</v>
      </c>
      <c r="D35" s="5">
        <f t="shared" si="0"/>
        <v>252640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 t="s">
        <v>65</v>
      </c>
      <c r="B36" s="4"/>
      <c r="C36" s="5"/>
      <c r="D36" s="5"/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 t="s">
        <v>66</v>
      </c>
      <c r="B37" s="4" t="s">
        <v>67</v>
      </c>
      <c r="C37" s="5">
        <v>70000</v>
      </c>
      <c r="D37" s="5">
        <f t="shared" si="0"/>
        <v>11200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 t="s">
        <v>68</v>
      </c>
      <c r="B38" s="4" t="s">
        <v>69</v>
      </c>
      <c r="C38" s="5">
        <v>104000</v>
      </c>
      <c r="D38" s="5">
        <f t="shared" si="0"/>
        <v>16640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 t="s">
        <v>70</v>
      </c>
      <c r="B39" s="4" t="s">
        <v>71</v>
      </c>
      <c r="C39" s="5">
        <v>127000</v>
      </c>
      <c r="D39" s="5">
        <f t="shared" si="0"/>
        <v>20320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 t="s">
        <v>72</v>
      </c>
      <c r="B40" s="4" t="s">
        <v>73</v>
      </c>
      <c r="C40" s="5">
        <v>162000</v>
      </c>
      <c r="D40" s="5">
        <f t="shared" si="0"/>
        <v>25920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 t="s">
        <v>74</v>
      </c>
      <c r="B41" s="4" t="s">
        <v>75</v>
      </c>
      <c r="C41" s="5">
        <v>179000</v>
      </c>
      <c r="D41" s="5">
        <f t="shared" si="0"/>
        <v>28640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 t="s">
        <v>76</v>
      </c>
      <c r="B42" s="4" t="s">
        <v>77</v>
      </c>
      <c r="C42" s="5">
        <v>186000</v>
      </c>
      <c r="D42" s="5">
        <f t="shared" si="0"/>
        <v>29760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 t="s">
        <v>78</v>
      </c>
      <c r="B43" s="4" t="s">
        <v>77</v>
      </c>
      <c r="C43" s="5">
        <v>186000</v>
      </c>
      <c r="D43" s="5">
        <f t="shared" si="0"/>
        <v>29760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 t="s">
        <v>79</v>
      </c>
      <c r="B44" s="4" t="s">
        <v>80</v>
      </c>
      <c r="C44" s="5">
        <v>203000</v>
      </c>
      <c r="D44" s="5">
        <f t="shared" si="0"/>
        <v>32480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 t="s">
        <v>81</v>
      </c>
      <c r="B45" s="4" t="s">
        <v>75</v>
      </c>
      <c r="C45" s="5">
        <v>212000</v>
      </c>
      <c r="D45" s="5">
        <f t="shared" si="0"/>
        <v>33920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 t="s">
        <v>82</v>
      </c>
      <c r="B46" s="4" t="s">
        <v>83</v>
      </c>
      <c r="C46" s="5">
        <v>222000</v>
      </c>
      <c r="D46" s="5">
        <f t="shared" si="0"/>
        <v>35520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 t="s">
        <v>84</v>
      </c>
      <c r="B47" s="4" t="s">
        <v>85</v>
      </c>
      <c r="C47" s="5">
        <v>245000</v>
      </c>
      <c r="D47" s="5">
        <f t="shared" si="0"/>
        <v>39200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 t="s">
        <v>86</v>
      </c>
      <c r="B48" s="4" t="s">
        <v>87</v>
      </c>
      <c r="C48" s="5">
        <v>251000</v>
      </c>
      <c r="D48" s="5">
        <f t="shared" si="0"/>
        <v>40160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 t="s">
        <v>88</v>
      </c>
      <c r="B49" s="4" t="s">
        <v>89</v>
      </c>
      <c r="C49" s="5">
        <v>257000</v>
      </c>
      <c r="D49" s="5">
        <f t="shared" si="0"/>
        <v>41120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 t="s">
        <v>90</v>
      </c>
      <c r="B50" s="4" t="s">
        <v>89</v>
      </c>
      <c r="C50" s="5">
        <v>269000</v>
      </c>
      <c r="D50" s="5">
        <f t="shared" si="0"/>
        <v>43040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 t="s">
        <v>91</v>
      </c>
      <c r="B51" s="4" t="s">
        <v>92</v>
      </c>
      <c r="C51" s="5">
        <v>314000</v>
      </c>
      <c r="D51" s="5">
        <f t="shared" si="0"/>
        <v>50240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 t="s">
        <v>93</v>
      </c>
      <c r="B52" s="4" t="s">
        <v>94</v>
      </c>
      <c r="C52" s="5">
        <v>325000</v>
      </c>
      <c r="D52" s="5">
        <f t="shared" si="0"/>
        <v>52000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 t="s">
        <v>95</v>
      </c>
      <c r="B53" s="4" t="s">
        <v>96</v>
      </c>
      <c r="C53" s="5">
        <v>347000</v>
      </c>
      <c r="D53" s="5">
        <f t="shared" si="0"/>
        <v>55520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 t="s">
        <v>97</v>
      </c>
      <c r="B54" s="4" t="s">
        <v>92</v>
      </c>
      <c r="C54" s="5">
        <v>369000</v>
      </c>
      <c r="D54" s="5">
        <f t="shared" si="0"/>
        <v>59040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 t="s">
        <v>98</v>
      </c>
      <c r="B55" s="4" t="s">
        <v>99</v>
      </c>
      <c r="C55" s="5">
        <v>402000</v>
      </c>
      <c r="D55" s="5">
        <f t="shared" si="0"/>
        <v>64320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 t="s">
        <v>100</v>
      </c>
      <c r="B56" s="4" t="s">
        <v>92</v>
      </c>
      <c r="C56" s="5">
        <v>471000</v>
      </c>
      <c r="D56" s="5">
        <f t="shared" si="0"/>
        <v>75360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 t="s">
        <v>101</v>
      </c>
      <c r="B57" s="4" t="s">
        <v>94</v>
      </c>
      <c r="C57" s="5">
        <v>476000</v>
      </c>
      <c r="D57" s="5">
        <f t="shared" si="0"/>
        <v>76160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 t="s">
        <v>102</v>
      </c>
      <c r="B58" s="4" t="s">
        <v>99</v>
      </c>
      <c r="C58" s="5">
        <v>492000</v>
      </c>
      <c r="D58" s="5">
        <f t="shared" si="0"/>
        <v>78720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 t="s">
        <v>103</v>
      </c>
      <c r="B59" s="4" t="s">
        <v>104</v>
      </c>
      <c r="C59" s="5">
        <v>531000</v>
      </c>
      <c r="D59" s="5">
        <f t="shared" si="0"/>
        <v>84960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 t="s">
        <v>105</v>
      </c>
      <c r="B60" s="4" t="s">
        <v>92</v>
      </c>
      <c r="C60" s="5">
        <v>552000</v>
      </c>
      <c r="D60" s="5">
        <f t="shared" si="0"/>
        <v>88320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 t="s">
        <v>106</v>
      </c>
      <c r="B61" s="4" t="s">
        <v>107</v>
      </c>
      <c r="C61" s="5">
        <v>1487000</v>
      </c>
      <c r="D61" s="5">
        <f t="shared" si="0"/>
        <v>237920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 t="s">
        <v>108</v>
      </c>
      <c r="B62" s="4"/>
      <c r="C62" s="5"/>
      <c r="D62" s="5"/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 t="s">
        <v>109</v>
      </c>
      <c r="B63" s="4" t="s">
        <v>110</v>
      </c>
      <c r="C63" s="5">
        <v>101000</v>
      </c>
      <c r="D63" s="5">
        <f t="shared" si="0"/>
        <v>16160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 t="s">
        <v>111</v>
      </c>
      <c r="B64" s="4" t="s">
        <v>112</v>
      </c>
      <c r="C64" s="5">
        <v>38000</v>
      </c>
      <c r="D64" s="5">
        <f t="shared" si="0"/>
        <v>6080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 t="s">
        <v>113</v>
      </c>
      <c r="B65" s="4" t="s">
        <v>114</v>
      </c>
      <c r="C65" s="5">
        <v>137000</v>
      </c>
      <c r="D65" s="5">
        <f t="shared" si="0"/>
        <v>21920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 t="s">
        <v>115</v>
      </c>
      <c r="B66" s="4" t="s">
        <v>116</v>
      </c>
      <c r="C66" s="5">
        <v>222000</v>
      </c>
      <c r="D66" s="5">
        <f t="shared" si="0"/>
        <v>35520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 t="s">
        <v>117</v>
      </c>
      <c r="B67" s="4" t="s">
        <v>118</v>
      </c>
      <c r="C67" s="5">
        <v>501000</v>
      </c>
      <c r="D67" s="5">
        <f t="shared" ref="D67:D130" si="2">C67*0.16</f>
        <v>80160</v>
      </c>
      <c r="E67" s="4" t="str">
        <f t="shared" ref="E67:E130" si="3">CONCATENATE(A67,"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 t="s">
        <v>119</v>
      </c>
      <c r="B68" s="4" t="s">
        <v>120</v>
      </c>
      <c r="C68" s="5">
        <v>428000</v>
      </c>
      <c r="D68" s="5">
        <f t="shared" si="2"/>
        <v>68480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 t="s">
        <v>121</v>
      </c>
      <c r="B69" s="4" t="s">
        <v>122</v>
      </c>
      <c r="C69" s="5">
        <v>561000</v>
      </c>
      <c r="D69" s="5">
        <f t="shared" si="2"/>
        <v>89760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 t="s">
        <v>123</v>
      </c>
      <c r="B70" s="4" t="s">
        <v>124</v>
      </c>
      <c r="C70" s="5">
        <v>1578000</v>
      </c>
      <c r="D70" s="5">
        <f t="shared" si="2"/>
        <v>252480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 t="s">
        <v>125</v>
      </c>
      <c r="B71" s="4" t="s">
        <v>126</v>
      </c>
      <c r="C71" s="5">
        <v>34000</v>
      </c>
      <c r="D71" s="5">
        <f t="shared" si="2"/>
        <v>5440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 t="s">
        <v>127</v>
      </c>
      <c r="B72" s="4" t="s">
        <v>128</v>
      </c>
      <c r="C72" s="5">
        <v>20000</v>
      </c>
      <c r="D72" s="5">
        <f t="shared" si="2"/>
        <v>3200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 t="s">
        <v>129</v>
      </c>
      <c r="B73" s="4" t="s">
        <v>128</v>
      </c>
      <c r="C73" s="5">
        <v>23000</v>
      </c>
      <c r="D73" s="5">
        <f t="shared" si="2"/>
        <v>3680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 t="s">
        <v>130</v>
      </c>
      <c r="B74" s="4"/>
      <c r="C74" s="5">
        <v>98000</v>
      </c>
      <c r="D74" s="5">
        <f t="shared" si="2"/>
        <v>15680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 t="s">
        <v>131</v>
      </c>
      <c r="B75" s="4"/>
      <c r="C75" s="5">
        <v>251000</v>
      </c>
      <c r="D75" s="5">
        <f t="shared" si="2"/>
        <v>40160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 t="s">
        <v>132</v>
      </c>
      <c r="B76" s="4"/>
      <c r="C76" s="5">
        <v>15000</v>
      </c>
      <c r="D76" s="5">
        <f t="shared" si="2"/>
        <v>2400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 t="s">
        <v>133</v>
      </c>
      <c r="B77" s="4"/>
      <c r="C77" s="5">
        <v>14000</v>
      </c>
      <c r="D77" s="5">
        <f t="shared" si="2"/>
        <v>2240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 t="s">
        <v>134</v>
      </c>
      <c r="B78" s="4"/>
      <c r="C78" s="5"/>
      <c r="D78" s="5"/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 t="s">
        <v>135</v>
      </c>
      <c r="B79" s="4" t="s">
        <v>136</v>
      </c>
      <c r="C79" s="5">
        <v>399000</v>
      </c>
      <c r="D79" s="5">
        <f t="shared" si="2"/>
        <v>63840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 t="s">
        <v>137</v>
      </c>
      <c r="B80" s="4" t="s">
        <v>138</v>
      </c>
      <c r="C80" s="5">
        <v>259000</v>
      </c>
      <c r="D80" s="5">
        <f t="shared" si="2"/>
        <v>41440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 t="s">
        <v>139</v>
      </c>
      <c r="B81" s="4" t="s">
        <v>138</v>
      </c>
      <c r="C81" s="5">
        <v>324000</v>
      </c>
      <c r="D81" s="5">
        <f t="shared" si="2"/>
        <v>51840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 t="s">
        <v>140</v>
      </c>
      <c r="B82" s="4" t="s">
        <v>138</v>
      </c>
      <c r="C82" s="5">
        <v>378000</v>
      </c>
      <c r="D82" s="5">
        <f t="shared" si="2"/>
        <v>60480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 t="s">
        <v>141</v>
      </c>
      <c r="B83" s="4" t="s">
        <v>138</v>
      </c>
      <c r="C83" s="5">
        <v>469000</v>
      </c>
      <c r="D83" s="5">
        <f t="shared" si="2"/>
        <v>75040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 t="s">
        <v>142</v>
      </c>
      <c r="B84" s="4" t="s">
        <v>138</v>
      </c>
      <c r="C84" s="5">
        <v>556000</v>
      </c>
      <c r="D84" s="5">
        <f t="shared" si="2"/>
        <v>88960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 t="s">
        <v>143</v>
      </c>
      <c r="B85" s="4" t="s">
        <v>144</v>
      </c>
      <c r="C85" s="5">
        <v>476000</v>
      </c>
      <c r="D85" s="5">
        <f t="shared" si="2"/>
        <v>76160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 t="s">
        <v>145</v>
      </c>
      <c r="B86" s="4" t="s">
        <v>144</v>
      </c>
      <c r="C86" s="5">
        <v>477000</v>
      </c>
      <c r="D86" s="5">
        <f t="shared" si="2"/>
        <v>76320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 t="s">
        <v>146</v>
      </c>
      <c r="B87" s="4" t="s">
        <v>144</v>
      </c>
      <c r="C87" s="5">
        <v>556000</v>
      </c>
      <c r="D87" s="5">
        <f t="shared" si="2"/>
        <v>88960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 t="s">
        <v>147</v>
      </c>
      <c r="B88" s="4" t="s">
        <v>148</v>
      </c>
      <c r="C88" s="5">
        <v>695000</v>
      </c>
      <c r="D88" s="5">
        <f t="shared" si="2"/>
        <v>111200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 t="s">
        <v>149</v>
      </c>
      <c r="B89" s="4" t="s">
        <v>150</v>
      </c>
      <c r="C89" s="5">
        <v>1279000</v>
      </c>
      <c r="D89" s="5">
        <f t="shared" si="2"/>
        <v>204640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 t="s">
        <v>151</v>
      </c>
      <c r="B90" s="4" t="s">
        <v>152</v>
      </c>
      <c r="C90" s="5">
        <v>35000</v>
      </c>
      <c r="D90" s="5">
        <f t="shared" si="2"/>
        <v>5600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 t="s">
        <v>153</v>
      </c>
      <c r="B91" s="4" t="s">
        <v>154</v>
      </c>
      <c r="C91" s="5">
        <v>175000</v>
      </c>
      <c r="D91" s="5">
        <f t="shared" si="2"/>
        <v>28000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 t="s">
        <v>155</v>
      </c>
      <c r="B92" s="4" t="s">
        <v>156</v>
      </c>
      <c r="C92" s="5">
        <v>272000</v>
      </c>
      <c r="D92" s="5">
        <f t="shared" si="2"/>
        <v>43520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 t="s">
        <v>157</v>
      </c>
      <c r="B93" s="4" t="s">
        <v>156</v>
      </c>
      <c r="C93" s="5">
        <v>198000</v>
      </c>
      <c r="D93" s="5">
        <f t="shared" si="2"/>
        <v>31680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 t="s">
        <v>158</v>
      </c>
      <c r="B94" s="4" t="s">
        <v>156</v>
      </c>
      <c r="C94" s="5">
        <v>290000</v>
      </c>
      <c r="D94" s="5">
        <f t="shared" si="2"/>
        <v>46400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 t="s">
        <v>159</v>
      </c>
      <c r="B95" s="4" t="s">
        <v>156</v>
      </c>
      <c r="C95" s="5">
        <v>589000</v>
      </c>
      <c r="D95" s="5">
        <f t="shared" si="2"/>
        <v>94240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 t="s">
        <v>160</v>
      </c>
      <c r="B96" s="4" t="s">
        <v>156</v>
      </c>
      <c r="C96" s="5">
        <v>743000</v>
      </c>
      <c r="D96" s="5">
        <f t="shared" si="2"/>
        <v>118880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 t="s">
        <v>161</v>
      </c>
      <c r="B97" s="4" t="s">
        <v>128</v>
      </c>
      <c r="C97" s="5">
        <v>271000</v>
      </c>
      <c r="D97" s="5">
        <f t="shared" si="2"/>
        <v>43360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 t="s">
        <v>162</v>
      </c>
      <c r="B98" s="4" t="s">
        <v>128</v>
      </c>
      <c r="C98" s="5">
        <v>632000</v>
      </c>
      <c r="D98" s="5">
        <f t="shared" si="2"/>
        <v>101120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 t="s">
        <v>163</v>
      </c>
      <c r="B99" s="4" t="s">
        <v>164</v>
      </c>
      <c r="C99" s="5">
        <v>90000</v>
      </c>
      <c r="D99" s="5">
        <f t="shared" si="2"/>
        <v>14400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 t="s">
        <v>165</v>
      </c>
      <c r="B100" s="4" t="s">
        <v>166</v>
      </c>
      <c r="C100" s="5">
        <v>4000</v>
      </c>
      <c r="D100" s="5">
        <f t="shared" si="2"/>
        <v>640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 t="s">
        <v>167</v>
      </c>
      <c r="B101" s="4" t="s">
        <v>168</v>
      </c>
      <c r="C101" s="5">
        <v>5000</v>
      </c>
      <c r="D101" s="5">
        <f t="shared" si="2"/>
        <v>800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 t="s">
        <v>169</v>
      </c>
      <c r="B102" s="4" t="s">
        <v>170</v>
      </c>
      <c r="C102" s="5">
        <v>41000</v>
      </c>
      <c r="D102" s="5">
        <f t="shared" si="2"/>
        <v>6560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 t="s">
        <v>171</v>
      </c>
      <c r="B103" s="4"/>
      <c r="C103" s="5"/>
      <c r="D103" s="5"/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 t="s">
        <v>172</v>
      </c>
      <c r="B104" s="4" t="s">
        <v>173</v>
      </c>
      <c r="C104" s="5">
        <v>737000</v>
      </c>
      <c r="D104" s="5">
        <f t="shared" si="2"/>
        <v>117920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 t="s">
        <v>174</v>
      </c>
      <c r="B105" s="4" t="s">
        <v>175</v>
      </c>
      <c r="C105" s="5">
        <v>910000</v>
      </c>
      <c r="D105" s="5">
        <f t="shared" si="2"/>
        <v>145600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 t="s">
        <v>176</v>
      </c>
      <c r="B106" s="4"/>
      <c r="C106" s="5">
        <v>241000</v>
      </c>
      <c r="D106" s="5">
        <f t="shared" si="2"/>
        <v>38560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 t="s">
        <v>177</v>
      </c>
      <c r="B107" s="4"/>
      <c r="C107" s="5"/>
      <c r="D107" s="5"/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 t="s">
        <v>178</v>
      </c>
      <c r="B108" s="4" t="s">
        <v>179</v>
      </c>
      <c r="C108" s="5">
        <v>112000</v>
      </c>
      <c r="D108" s="5">
        <f t="shared" si="2"/>
        <v>17920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 t="s">
        <v>180</v>
      </c>
      <c r="B109" s="4" t="s">
        <v>179</v>
      </c>
      <c r="C109" s="5">
        <v>113000</v>
      </c>
      <c r="D109" s="5">
        <f t="shared" si="2"/>
        <v>18080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 t="s">
        <v>181</v>
      </c>
      <c r="B110" s="4" t="s">
        <v>182</v>
      </c>
      <c r="C110" s="5">
        <v>121000</v>
      </c>
      <c r="D110" s="5">
        <f t="shared" si="2"/>
        <v>19360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 t="s">
        <v>183</v>
      </c>
      <c r="B111" s="4" t="s">
        <v>184</v>
      </c>
      <c r="C111" s="5">
        <v>160000</v>
      </c>
      <c r="D111" s="5">
        <f t="shared" si="2"/>
        <v>25600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 t="s">
        <v>185</v>
      </c>
      <c r="B112" s="4" t="s">
        <v>186</v>
      </c>
      <c r="C112" s="5">
        <v>195000</v>
      </c>
      <c r="D112" s="5">
        <f t="shared" si="2"/>
        <v>31200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 t="s">
        <v>187</v>
      </c>
      <c r="B113" s="4" t="s">
        <v>188</v>
      </c>
      <c r="C113" s="5">
        <v>215000</v>
      </c>
      <c r="D113" s="5">
        <f t="shared" si="2"/>
        <v>34400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 t="s">
        <v>189</v>
      </c>
      <c r="B114" s="4" t="s">
        <v>188</v>
      </c>
      <c r="C114" s="5">
        <v>321000</v>
      </c>
      <c r="D114" s="5">
        <f t="shared" si="2"/>
        <v>51360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 t="s">
        <v>190</v>
      </c>
      <c r="B115" s="4" t="s">
        <v>191</v>
      </c>
      <c r="C115" s="5">
        <v>614000</v>
      </c>
      <c r="D115" s="5">
        <f t="shared" si="2"/>
        <v>98240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 t="s">
        <v>192</v>
      </c>
      <c r="B116" s="4"/>
      <c r="C116" s="5"/>
      <c r="D116" s="5"/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 t="s">
        <v>193</v>
      </c>
      <c r="B117" s="4" t="s">
        <v>194</v>
      </c>
      <c r="C117" s="5">
        <v>30000</v>
      </c>
      <c r="D117" s="5">
        <f t="shared" si="2"/>
        <v>4800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 t="s">
        <v>195</v>
      </c>
      <c r="B118" s="4" t="s">
        <v>196</v>
      </c>
      <c r="C118" s="5">
        <v>34000</v>
      </c>
      <c r="D118" s="5">
        <f t="shared" si="2"/>
        <v>5440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 t="s">
        <v>197</v>
      </c>
      <c r="B119" s="4" t="s">
        <v>194</v>
      </c>
      <c r="C119" s="5">
        <v>35000</v>
      </c>
      <c r="D119" s="5">
        <f t="shared" si="2"/>
        <v>5600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 t="s">
        <v>198</v>
      </c>
      <c r="B120" s="4" t="s">
        <v>199</v>
      </c>
      <c r="C120" s="5">
        <v>77000</v>
      </c>
      <c r="D120" s="5">
        <f t="shared" si="2"/>
        <v>12320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 t="s">
        <v>200</v>
      </c>
      <c r="B121" s="4" t="s">
        <v>201</v>
      </c>
      <c r="C121" s="5">
        <v>723000</v>
      </c>
      <c r="D121" s="5">
        <f t="shared" si="2"/>
        <v>115680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 t="s">
        <v>202</v>
      </c>
      <c r="B122" s="4" t="s">
        <v>203</v>
      </c>
      <c r="C122" s="5">
        <v>742000</v>
      </c>
      <c r="D122" s="5">
        <f t="shared" si="2"/>
        <v>118720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 t="s">
        <v>204</v>
      </c>
      <c r="B123" s="4" t="s">
        <v>205</v>
      </c>
      <c r="C123" s="5">
        <v>778000</v>
      </c>
      <c r="D123" s="5">
        <f t="shared" si="2"/>
        <v>124480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 t="s">
        <v>206</v>
      </c>
      <c r="B124" s="4" t="s">
        <v>207</v>
      </c>
      <c r="C124" s="5">
        <v>878000</v>
      </c>
      <c r="D124" s="5">
        <f t="shared" si="2"/>
        <v>140480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 t="s">
        <v>208</v>
      </c>
      <c r="B125" s="4" t="s">
        <v>207</v>
      </c>
      <c r="C125" s="5">
        <v>883000</v>
      </c>
      <c r="D125" s="5">
        <f t="shared" si="2"/>
        <v>141280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 t="s">
        <v>209</v>
      </c>
      <c r="B126" s="4" t="s">
        <v>201</v>
      </c>
      <c r="C126" s="5">
        <v>913000</v>
      </c>
      <c r="D126" s="5">
        <f t="shared" si="2"/>
        <v>146080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 t="s">
        <v>210</v>
      </c>
      <c r="B127" s="4" t="s">
        <v>211</v>
      </c>
      <c r="C127" s="5">
        <v>1125000</v>
      </c>
      <c r="D127" s="5">
        <f t="shared" si="2"/>
        <v>180000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 t="s">
        <v>212</v>
      </c>
      <c r="B128" s="4"/>
      <c r="C128" s="5"/>
      <c r="D128" s="5"/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 t="s">
        <v>213</v>
      </c>
      <c r="B129" s="4"/>
      <c r="C129" s="5">
        <v>33000</v>
      </c>
      <c r="D129" s="5">
        <f t="shared" si="2"/>
        <v>5280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 t="s">
        <v>214</v>
      </c>
      <c r="B130" s="4"/>
      <c r="C130" s="5">
        <v>52000</v>
      </c>
      <c r="D130" s="5">
        <f t="shared" si="2"/>
        <v>8320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 t="s">
        <v>215</v>
      </c>
      <c r="B131" s="4"/>
      <c r="C131" s="5">
        <v>97000</v>
      </c>
      <c r="D131" s="5">
        <f t="shared" ref="D131:D194" si="4">C131*0.16</f>
        <v>15520</v>
      </c>
      <c r="E131" s="4" t="str">
        <f t="shared" ref="E131:E194" si="5">CONCATENATE(A131,"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 t="s">
        <v>216</v>
      </c>
      <c r="B132" s="4" t="s">
        <v>128</v>
      </c>
      <c r="C132" s="5"/>
      <c r="D132" s="5"/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 t="s">
        <v>217</v>
      </c>
      <c r="B133" s="4" t="s">
        <v>218</v>
      </c>
      <c r="C133" s="5">
        <v>131000</v>
      </c>
      <c r="D133" s="5">
        <f t="shared" si="4"/>
        <v>20960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 t="s">
        <v>219</v>
      </c>
      <c r="B134" s="4" t="s">
        <v>220</v>
      </c>
      <c r="C134" s="5">
        <v>169000</v>
      </c>
      <c r="D134" s="5">
        <f t="shared" si="4"/>
        <v>27040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 t="s">
        <v>221</v>
      </c>
      <c r="B135" s="4" t="s">
        <v>220</v>
      </c>
      <c r="C135" s="5">
        <v>190000</v>
      </c>
      <c r="D135" s="5">
        <f t="shared" si="4"/>
        <v>30400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 t="s">
        <v>222</v>
      </c>
      <c r="B136" s="4" t="s">
        <v>218</v>
      </c>
      <c r="C136" s="5">
        <v>191000</v>
      </c>
      <c r="D136" s="5">
        <f t="shared" si="4"/>
        <v>30560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 t="s">
        <v>223</v>
      </c>
      <c r="B137" s="4" t="s">
        <v>220</v>
      </c>
      <c r="C137" s="5">
        <v>197000</v>
      </c>
      <c r="D137" s="5">
        <f t="shared" si="4"/>
        <v>31520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 t="s">
        <v>224</v>
      </c>
      <c r="B138" s="4" t="s">
        <v>220</v>
      </c>
      <c r="C138" s="5">
        <v>201000</v>
      </c>
      <c r="D138" s="5">
        <f t="shared" si="4"/>
        <v>32160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 t="s">
        <v>225</v>
      </c>
      <c r="B139" s="4" t="s">
        <v>226</v>
      </c>
      <c r="C139" s="5">
        <v>220000</v>
      </c>
      <c r="D139" s="5">
        <f t="shared" si="4"/>
        <v>35200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 t="s">
        <v>227</v>
      </c>
      <c r="B140" s="4" t="s">
        <v>218</v>
      </c>
      <c r="C140" s="5">
        <v>250000</v>
      </c>
      <c r="D140" s="5">
        <f t="shared" si="4"/>
        <v>40000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 t="s">
        <v>228</v>
      </c>
      <c r="B141" s="4" t="s">
        <v>220</v>
      </c>
      <c r="C141" s="5">
        <v>257000</v>
      </c>
      <c r="D141" s="5">
        <f t="shared" si="4"/>
        <v>41120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 t="s">
        <v>229</v>
      </c>
      <c r="B142" s="4" t="s">
        <v>220</v>
      </c>
      <c r="C142" s="5">
        <v>278000</v>
      </c>
      <c r="D142" s="5">
        <f t="shared" si="4"/>
        <v>44480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 t="s">
        <v>230</v>
      </c>
      <c r="B143" s="4" t="s">
        <v>226</v>
      </c>
      <c r="C143" s="5">
        <v>280000</v>
      </c>
      <c r="D143" s="5">
        <f t="shared" si="4"/>
        <v>44800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 t="s">
        <v>231</v>
      </c>
      <c r="B144" s="4" t="s">
        <v>220</v>
      </c>
      <c r="C144" s="5">
        <v>300000</v>
      </c>
      <c r="D144" s="5">
        <f t="shared" si="4"/>
        <v>48000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 t="s">
        <v>232</v>
      </c>
      <c r="B145" s="4" t="s">
        <v>233</v>
      </c>
      <c r="C145" s="5">
        <v>305000</v>
      </c>
      <c r="D145" s="5">
        <f t="shared" si="4"/>
        <v>48800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 t="s">
        <v>234</v>
      </c>
      <c r="B146" s="4" t="s">
        <v>220</v>
      </c>
      <c r="C146" s="5">
        <v>335000</v>
      </c>
      <c r="D146" s="5">
        <f t="shared" si="4"/>
        <v>53600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 t="s">
        <v>235</v>
      </c>
      <c r="B147" s="4" t="s">
        <v>220</v>
      </c>
      <c r="C147" s="5">
        <v>360000</v>
      </c>
      <c r="D147" s="5">
        <f t="shared" si="4"/>
        <v>57600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 t="s">
        <v>236</v>
      </c>
      <c r="B148" s="4" t="s">
        <v>218</v>
      </c>
      <c r="C148" s="5">
        <v>429000</v>
      </c>
      <c r="D148" s="5">
        <f t="shared" si="4"/>
        <v>68640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 t="s">
        <v>237</v>
      </c>
      <c r="B149" s="4" t="s">
        <v>220</v>
      </c>
      <c r="C149" s="5">
        <v>701000</v>
      </c>
      <c r="D149" s="5">
        <f t="shared" si="4"/>
        <v>112160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4.25" customHeight="1" x14ac:dyDescent="0.2">
      <c r="A150" s="4" t="s">
        <v>238</v>
      </c>
      <c r="B150" s="4"/>
      <c r="C150" s="5"/>
      <c r="D150" s="5"/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 t="s">
        <v>239</v>
      </c>
      <c r="B151" s="4" t="s">
        <v>240</v>
      </c>
      <c r="C151" s="5">
        <v>90000</v>
      </c>
      <c r="D151" s="5">
        <f t="shared" si="4"/>
        <v>14400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 t="s">
        <v>241</v>
      </c>
      <c r="B152" s="4" t="s">
        <v>242</v>
      </c>
      <c r="C152" s="5">
        <v>69000</v>
      </c>
      <c r="D152" s="5">
        <f t="shared" si="4"/>
        <v>11040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 t="s">
        <v>243</v>
      </c>
      <c r="B153" s="4" t="s">
        <v>242</v>
      </c>
      <c r="C153" s="5">
        <v>89000</v>
      </c>
      <c r="D153" s="5">
        <f t="shared" si="4"/>
        <v>14240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 t="s">
        <v>244</v>
      </c>
      <c r="B154" s="4" t="s">
        <v>242</v>
      </c>
      <c r="C154" s="5">
        <v>138000</v>
      </c>
      <c r="D154" s="5">
        <f t="shared" si="4"/>
        <v>22080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 t="s">
        <v>245</v>
      </c>
      <c r="B155" s="4" t="s">
        <v>242</v>
      </c>
      <c r="C155" s="5">
        <v>196000</v>
      </c>
      <c r="D155" s="5">
        <f t="shared" si="4"/>
        <v>31360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 t="s">
        <v>246</v>
      </c>
      <c r="B156" s="4" t="s">
        <v>242</v>
      </c>
      <c r="C156" s="5">
        <v>329000</v>
      </c>
      <c r="D156" s="5">
        <f t="shared" si="4"/>
        <v>52640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 t="s">
        <v>247</v>
      </c>
      <c r="B157" s="4" t="s">
        <v>242</v>
      </c>
      <c r="C157" s="5">
        <v>295000</v>
      </c>
      <c r="D157" s="5">
        <f t="shared" si="4"/>
        <v>47200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 t="s">
        <v>248</v>
      </c>
      <c r="B158" s="4" t="s">
        <v>249</v>
      </c>
      <c r="C158" s="5">
        <v>19000</v>
      </c>
      <c r="D158" s="5">
        <f t="shared" si="4"/>
        <v>3040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 t="s">
        <v>250</v>
      </c>
      <c r="B159" s="4" t="s">
        <v>251</v>
      </c>
      <c r="C159" s="5">
        <v>26000</v>
      </c>
      <c r="D159" s="5">
        <f t="shared" si="4"/>
        <v>4160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 t="s">
        <v>252</v>
      </c>
      <c r="B160" s="4" t="s">
        <v>253</v>
      </c>
      <c r="C160" s="5">
        <v>28000</v>
      </c>
      <c r="D160" s="5">
        <f t="shared" si="4"/>
        <v>4480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 t="s">
        <v>254</v>
      </c>
      <c r="B161" s="4" t="s">
        <v>255</v>
      </c>
      <c r="C161" s="5">
        <v>56000</v>
      </c>
      <c r="D161" s="5">
        <f t="shared" si="4"/>
        <v>8960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 t="s">
        <v>256</v>
      </c>
      <c r="B162" s="4"/>
      <c r="C162" s="5"/>
      <c r="D162" s="5"/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 t="s">
        <v>257</v>
      </c>
      <c r="B163" s="4"/>
      <c r="C163" s="5">
        <v>216000</v>
      </c>
      <c r="D163" s="5">
        <f t="shared" si="4"/>
        <v>34560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 t="s">
        <v>258</v>
      </c>
      <c r="B164" s="4"/>
      <c r="C164" s="5">
        <v>250000</v>
      </c>
      <c r="D164" s="5">
        <f t="shared" si="4"/>
        <v>40000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 t="s">
        <v>259</v>
      </c>
      <c r="B165" s="4"/>
      <c r="C165" s="5">
        <v>382000</v>
      </c>
      <c r="D165" s="5">
        <f t="shared" si="4"/>
        <v>61120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 t="s">
        <v>260</v>
      </c>
      <c r="B166" s="4"/>
      <c r="C166" s="5">
        <v>524000</v>
      </c>
      <c r="D166" s="5">
        <f t="shared" si="4"/>
        <v>83840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 t="s">
        <v>261</v>
      </c>
      <c r="B167" s="4"/>
      <c r="C167" s="5">
        <v>757000</v>
      </c>
      <c r="D167" s="5">
        <f t="shared" si="4"/>
        <v>121120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 t="s">
        <v>262</v>
      </c>
      <c r="B168" s="4"/>
      <c r="C168" s="5">
        <v>1045000</v>
      </c>
      <c r="D168" s="5">
        <f t="shared" si="4"/>
        <v>167200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 t="s">
        <v>263</v>
      </c>
      <c r="B169" s="4"/>
      <c r="C169" s="5">
        <v>1568000</v>
      </c>
      <c r="D169" s="5">
        <f t="shared" si="4"/>
        <v>250880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 t="s">
        <v>264</v>
      </c>
      <c r="B170" s="4"/>
      <c r="C170" s="5">
        <v>117000</v>
      </c>
      <c r="D170" s="5">
        <f t="shared" si="4"/>
        <v>18720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 t="s">
        <v>265</v>
      </c>
      <c r="B171" s="4"/>
      <c r="C171" s="5">
        <v>158000</v>
      </c>
      <c r="D171" s="5">
        <f t="shared" si="4"/>
        <v>25280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 t="s">
        <v>266</v>
      </c>
      <c r="B172" s="4"/>
      <c r="C172" s="5">
        <v>260000</v>
      </c>
      <c r="D172" s="5">
        <f t="shared" si="4"/>
        <v>41600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 t="s">
        <v>267</v>
      </c>
      <c r="B173" s="4"/>
      <c r="C173" s="5">
        <v>193000</v>
      </c>
      <c r="D173" s="5">
        <f t="shared" si="4"/>
        <v>30880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 t="s">
        <v>268</v>
      </c>
      <c r="B174" s="4"/>
      <c r="C174" s="5">
        <v>270000</v>
      </c>
      <c r="D174" s="5">
        <f t="shared" si="4"/>
        <v>43200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 t="s">
        <v>269</v>
      </c>
      <c r="B175" s="4"/>
      <c r="C175" s="5">
        <v>314000</v>
      </c>
      <c r="D175" s="5">
        <f t="shared" si="4"/>
        <v>50240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 t="s">
        <v>270</v>
      </c>
      <c r="B176" s="4"/>
      <c r="C176" s="5">
        <v>894000</v>
      </c>
      <c r="D176" s="5">
        <f t="shared" si="4"/>
        <v>143040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 t="s">
        <v>271</v>
      </c>
      <c r="B177" s="4"/>
      <c r="C177" s="5">
        <v>1040000</v>
      </c>
      <c r="D177" s="5">
        <f t="shared" si="4"/>
        <v>166400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 t="s">
        <v>272</v>
      </c>
      <c r="B178" s="4"/>
      <c r="C178" s="5">
        <v>8000</v>
      </c>
      <c r="D178" s="5">
        <f t="shared" si="4"/>
        <v>1280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 t="s">
        <v>273</v>
      </c>
      <c r="B179" s="4"/>
      <c r="C179" s="5">
        <v>10000</v>
      </c>
      <c r="D179" s="5">
        <f t="shared" si="4"/>
        <v>1600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 t="s">
        <v>274</v>
      </c>
      <c r="B180" s="4"/>
      <c r="C180" s="5">
        <v>24000</v>
      </c>
      <c r="D180" s="5">
        <f t="shared" si="4"/>
        <v>3840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 t="s">
        <v>275</v>
      </c>
      <c r="B181" s="4" t="s">
        <v>128</v>
      </c>
      <c r="C181" s="5">
        <v>11000</v>
      </c>
      <c r="D181" s="5">
        <f t="shared" si="4"/>
        <v>1760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 t="s">
        <v>276</v>
      </c>
      <c r="B182" s="4" t="s">
        <v>128</v>
      </c>
      <c r="C182" s="5">
        <v>10000</v>
      </c>
      <c r="D182" s="5">
        <f t="shared" si="4"/>
        <v>1600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 t="s">
        <v>277</v>
      </c>
      <c r="B183" s="4" t="s">
        <v>128</v>
      </c>
      <c r="C183" s="5">
        <v>26000</v>
      </c>
      <c r="D183" s="5">
        <f t="shared" si="4"/>
        <v>4160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 t="s">
        <v>278</v>
      </c>
      <c r="B184" s="4"/>
      <c r="C184" s="5"/>
      <c r="D184" s="5"/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 t="s">
        <v>279</v>
      </c>
      <c r="B185" s="4" t="s">
        <v>280</v>
      </c>
      <c r="C185" s="5">
        <v>22000</v>
      </c>
      <c r="D185" s="5">
        <f t="shared" si="4"/>
        <v>3520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 t="s">
        <v>281</v>
      </c>
      <c r="B186" s="4" t="s">
        <v>282</v>
      </c>
      <c r="C186" s="5">
        <v>63000</v>
      </c>
      <c r="D186" s="5">
        <f t="shared" si="4"/>
        <v>10080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 t="s">
        <v>283</v>
      </c>
      <c r="B187" s="4" t="s">
        <v>282</v>
      </c>
      <c r="C187" s="5">
        <v>63000</v>
      </c>
      <c r="D187" s="5">
        <f t="shared" si="4"/>
        <v>10080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 t="s">
        <v>284</v>
      </c>
      <c r="B188" s="4" t="s">
        <v>282</v>
      </c>
      <c r="C188" s="5">
        <v>26000</v>
      </c>
      <c r="D188" s="5">
        <f t="shared" si="4"/>
        <v>4160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 t="s">
        <v>285</v>
      </c>
      <c r="B189" s="4" t="s">
        <v>286</v>
      </c>
      <c r="C189" s="5">
        <v>25000</v>
      </c>
      <c r="D189" s="5">
        <f t="shared" si="4"/>
        <v>4000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 t="s">
        <v>287</v>
      </c>
      <c r="B190" s="4" t="s">
        <v>286</v>
      </c>
      <c r="C190" s="5">
        <v>25000</v>
      </c>
      <c r="D190" s="5">
        <f t="shared" si="4"/>
        <v>4000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 t="s">
        <v>288</v>
      </c>
      <c r="B191" s="4" t="s">
        <v>286</v>
      </c>
      <c r="C191" s="5">
        <v>46000</v>
      </c>
      <c r="D191" s="5">
        <f t="shared" si="4"/>
        <v>7360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 t="s">
        <v>289</v>
      </c>
      <c r="B192" s="4"/>
      <c r="C192" s="5"/>
      <c r="D192" s="5"/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 t="s">
        <v>290</v>
      </c>
      <c r="B193" s="4" t="s">
        <v>291</v>
      </c>
      <c r="C193" s="5">
        <v>37000</v>
      </c>
      <c r="D193" s="5">
        <f t="shared" si="4"/>
        <v>5920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 t="s">
        <v>292</v>
      </c>
      <c r="B194" s="4" t="s">
        <v>291</v>
      </c>
      <c r="C194" s="5">
        <v>37000</v>
      </c>
      <c r="D194" s="5">
        <f t="shared" si="4"/>
        <v>5920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 t="s">
        <v>293</v>
      </c>
      <c r="B195" s="4" t="s">
        <v>294</v>
      </c>
      <c r="C195" s="5">
        <v>11000</v>
      </c>
      <c r="D195" s="5">
        <f t="shared" ref="D195:D258" si="6">C195*0.16</f>
        <v>1760</v>
      </c>
      <c r="E195" s="4" t="str">
        <f t="shared" ref="E195:E258" si="7">CONCATENATE(A195,"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 t="s">
        <v>295</v>
      </c>
      <c r="B196" s="4" t="s">
        <v>294</v>
      </c>
      <c r="C196" s="5">
        <v>46000</v>
      </c>
      <c r="D196" s="5">
        <f t="shared" si="6"/>
        <v>7360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 t="s">
        <v>296</v>
      </c>
      <c r="B197" s="4" t="s">
        <v>294</v>
      </c>
      <c r="C197" s="5">
        <v>19000</v>
      </c>
      <c r="D197" s="5">
        <f t="shared" si="6"/>
        <v>3040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 t="s">
        <v>297</v>
      </c>
      <c r="B198" s="4" t="s">
        <v>294</v>
      </c>
      <c r="C198" s="5">
        <v>13000</v>
      </c>
      <c r="D198" s="5">
        <f t="shared" si="6"/>
        <v>2080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 t="s">
        <v>298</v>
      </c>
      <c r="B199" s="4" t="s">
        <v>294</v>
      </c>
      <c r="C199" s="5">
        <v>26000</v>
      </c>
      <c r="D199" s="5">
        <f t="shared" si="6"/>
        <v>4160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 t="s">
        <v>299</v>
      </c>
      <c r="B200" s="4" t="s">
        <v>294</v>
      </c>
      <c r="C200" s="5">
        <v>26000</v>
      </c>
      <c r="D200" s="5">
        <f t="shared" si="6"/>
        <v>4160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 t="s">
        <v>300</v>
      </c>
      <c r="B201" s="4" t="s">
        <v>294</v>
      </c>
      <c r="C201" s="5">
        <v>20000</v>
      </c>
      <c r="D201" s="5">
        <f t="shared" si="6"/>
        <v>3200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 t="s">
        <v>301</v>
      </c>
      <c r="B202" s="4" t="s">
        <v>294</v>
      </c>
      <c r="C202" s="5">
        <v>49000</v>
      </c>
      <c r="D202" s="5">
        <f t="shared" si="6"/>
        <v>7840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 t="s">
        <v>302</v>
      </c>
      <c r="B203" s="4" t="s">
        <v>294</v>
      </c>
      <c r="C203" s="5">
        <v>33000</v>
      </c>
      <c r="D203" s="5">
        <f t="shared" si="6"/>
        <v>5280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 t="s">
        <v>303</v>
      </c>
      <c r="B204" s="4" t="s">
        <v>294</v>
      </c>
      <c r="C204" s="5">
        <v>68000</v>
      </c>
      <c r="D204" s="5">
        <f t="shared" si="6"/>
        <v>10880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 t="s">
        <v>304</v>
      </c>
      <c r="B205" s="4" t="s">
        <v>294</v>
      </c>
      <c r="C205" s="5">
        <v>33000</v>
      </c>
      <c r="D205" s="5">
        <f t="shared" si="6"/>
        <v>5280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 t="s">
        <v>305</v>
      </c>
      <c r="B206" s="4" t="s">
        <v>294</v>
      </c>
      <c r="C206" s="5">
        <v>147000</v>
      </c>
      <c r="D206" s="5">
        <f t="shared" si="6"/>
        <v>23520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 t="s">
        <v>306</v>
      </c>
      <c r="B207" s="4" t="s">
        <v>294</v>
      </c>
      <c r="C207" s="5">
        <v>151000</v>
      </c>
      <c r="D207" s="5">
        <f t="shared" si="6"/>
        <v>24160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 t="s">
        <v>307</v>
      </c>
      <c r="B208" s="4" t="s">
        <v>294</v>
      </c>
      <c r="C208" s="5">
        <v>197000</v>
      </c>
      <c r="D208" s="5">
        <f t="shared" si="6"/>
        <v>31520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 t="s">
        <v>308</v>
      </c>
      <c r="B209" s="4" t="s">
        <v>294</v>
      </c>
      <c r="C209" s="5">
        <v>310000</v>
      </c>
      <c r="D209" s="5">
        <f t="shared" si="6"/>
        <v>49600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 t="s">
        <v>309</v>
      </c>
      <c r="B210" s="4" t="s">
        <v>294</v>
      </c>
      <c r="C210" s="5">
        <v>271000</v>
      </c>
      <c r="D210" s="5">
        <f t="shared" si="6"/>
        <v>43360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 t="s">
        <v>310</v>
      </c>
      <c r="B211" s="4" t="s">
        <v>294</v>
      </c>
      <c r="C211" s="5">
        <v>458000</v>
      </c>
      <c r="D211" s="5">
        <f t="shared" si="6"/>
        <v>73280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 t="s">
        <v>311</v>
      </c>
      <c r="B212" s="4" t="s">
        <v>294</v>
      </c>
      <c r="C212" s="5">
        <v>412000</v>
      </c>
      <c r="D212" s="5">
        <f t="shared" si="6"/>
        <v>65920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 t="s">
        <v>312</v>
      </c>
      <c r="B213" s="4" t="s">
        <v>313</v>
      </c>
      <c r="C213" s="5">
        <v>807000</v>
      </c>
      <c r="D213" s="5">
        <f t="shared" si="6"/>
        <v>129120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 t="s">
        <v>314</v>
      </c>
      <c r="B214" s="4"/>
      <c r="C214" s="5">
        <v>4000</v>
      </c>
      <c r="D214" s="5">
        <f t="shared" si="6"/>
        <v>640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 t="s">
        <v>315</v>
      </c>
      <c r="B215" s="4"/>
      <c r="C215" s="5">
        <v>81000</v>
      </c>
      <c r="D215" s="5">
        <f t="shared" si="6"/>
        <v>12960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 t="s">
        <v>316</v>
      </c>
      <c r="B216" s="4"/>
      <c r="C216" s="5">
        <v>125000</v>
      </c>
      <c r="D216" s="5">
        <f t="shared" si="6"/>
        <v>20000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 t="s">
        <v>317</v>
      </c>
      <c r="B217" s="4"/>
      <c r="C217" s="5">
        <v>98000</v>
      </c>
      <c r="D217" s="5">
        <f t="shared" si="6"/>
        <v>15680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 t="s">
        <v>318</v>
      </c>
      <c r="B218" s="4"/>
      <c r="C218" s="5">
        <v>140000</v>
      </c>
      <c r="D218" s="5">
        <f t="shared" si="6"/>
        <v>22400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 t="s">
        <v>319</v>
      </c>
      <c r="B219" s="4" t="s">
        <v>320</v>
      </c>
      <c r="C219" s="5">
        <v>5000</v>
      </c>
      <c r="D219" s="5">
        <f t="shared" si="6"/>
        <v>800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 t="s">
        <v>319</v>
      </c>
      <c r="B220" s="4" t="s">
        <v>321</v>
      </c>
      <c r="C220" s="5">
        <v>6000</v>
      </c>
      <c r="D220" s="5">
        <f t="shared" si="6"/>
        <v>960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 t="s">
        <v>322</v>
      </c>
      <c r="B221" s="4"/>
      <c r="C221" s="5">
        <v>9000</v>
      </c>
      <c r="D221" s="5">
        <f t="shared" si="6"/>
        <v>1440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 t="s">
        <v>323</v>
      </c>
      <c r="B222" s="4" t="s">
        <v>324</v>
      </c>
      <c r="C222" s="5">
        <v>8000</v>
      </c>
      <c r="D222" s="5">
        <f t="shared" si="6"/>
        <v>1280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 t="s">
        <v>325</v>
      </c>
      <c r="B223" s="4"/>
      <c r="C223" s="5">
        <v>11000</v>
      </c>
      <c r="D223" s="5">
        <f t="shared" si="6"/>
        <v>1760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 t="s">
        <v>326</v>
      </c>
      <c r="B224" s="4" t="s">
        <v>327</v>
      </c>
      <c r="C224" s="5">
        <v>21000</v>
      </c>
      <c r="D224" s="5">
        <f t="shared" si="6"/>
        <v>3360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 t="s">
        <v>328</v>
      </c>
      <c r="B225" s="4" t="s">
        <v>294</v>
      </c>
      <c r="C225" s="5">
        <v>14000</v>
      </c>
      <c r="D225" s="5">
        <f t="shared" si="6"/>
        <v>2240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 t="s">
        <v>329</v>
      </c>
      <c r="B226" s="4" t="s">
        <v>294</v>
      </c>
      <c r="C226" s="5">
        <v>23000</v>
      </c>
      <c r="D226" s="5">
        <f t="shared" si="6"/>
        <v>3680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 t="s">
        <v>330</v>
      </c>
      <c r="B227" s="4" t="s">
        <v>294</v>
      </c>
      <c r="C227" s="5">
        <v>51000</v>
      </c>
      <c r="D227" s="5">
        <f t="shared" si="6"/>
        <v>8160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 t="s">
        <v>331</v>
      </c>
      <c r="B228" s="4"/>
      <c r="C228" s="5"/>
      <c r="D228" s="5"/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 t="s">
        <v>332</v>
      </c>
      <c r="B229" s="4" t="s">
        <v>333</v>
      </c>
      <c r="C229" s="5">
        <v>198000</v>
      </c>
      <c r="D229" s="5">
        <f t="shared" si="6"/>
        <v>31680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 t="s">
        <v>334</v>
      </c>
      <c r="B230" s="4" t="s">
        <v>333</v>
      </c>
      <c r="C230" s="5">
        <v>167000</v>
      </c>
      <c r="D230" s="5">
        <f t="shared" si="6"/>
        <v>26720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 t="s">
        <v>335</v>
      </c>
      <c r="B231" s="4" t="s">
        <v>336</v>
      </c>
      <c r="C231" s="5">
        <v>95000</v>
      </c>
      <c r="D231" s="5">
        <f t="shared" si="6"/>
        <v>15200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 t="s">
        <v>337</v>
      </c>
      <c r="B232" s="4" t="s">
        <v>336</v>
      </c>
      <c r="C232" s="5">
        <v>141000</v>
      </c>
      <c r="D232" s="5">
        <f t="shared" si="6"/>
        <v>22560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 t="s">
        <v>338</v>
      </c>
      <c r="B233" s="4" t="s">
        <v>333</v>
      </c>
      <c r="C233" s="5">
        <v>351000</v>
      </c>
      <c r="D233" s="5">
        <f t="shared" si="6"/>
        <v>56160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 t="s">
        <v>339</v>
      </c>
      <c r="B234" s="4" t="s">
        <v>340</v>
      </c>
      <c r="C234" s="5">
        <v>414000</v>
      </c>
      <c r="D234" s="5">
        <f t="shared" si="6"/>
        <v>66240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 t="s">
        <v>341</v>
      </c>
      <c r="B235" s="4" t="s">
        <v>333</v>
      </c>
      <c r="C235" s="5">
        <v>61000</v>
      </c>
      <c r="D235" s="5">
        <f t="shared" si="6"/>
        <v>9760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 t="s">
        <v>342</v>
      </c>
      <c r="B236" s="4" t="s">
        <v>333</v>
      </c>
      <c r="C236" s="5">
        <v>893000</v>
      </c>
      <c r="D236" s="5">
        <f t="shared" si="6"/>
        <v>142880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 t="s">
        <v>343</v>
      </c>
      <c r="B237" s="4" t="s">
        <v>333</v>
      </c>
      <c r="C237" s="5">
        <v>985000</v>
      </c>
      <c r="D237" s="5">
        <f t="shared" si="6"/>
        <v>157600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 t="s">
        <v>344</v>
      </c>
      <c r="B238" s="4" t="s">
        <v>333</v>
      </c>
      <c r="C238" s="5">
        <v>296000</v>
      </c>
      <c r="D238" s="5">
        <f t="shared" si="6"/>
        <v>47360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 t="s">
        <v>345</v>
      </c>
      <c r="B239" s="4" t="s">
        <v>333</v>
      </c>
      <c r="C239" s="5">
        <v>685000</v>
      </c>
      <c r="D239" s="5">
        <f t="shared" si="6"/>
        <v>109600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 t="s">
        <v>346</v>
      </c>
      <c r="B240" s="4" t="s">
        <v>333</v>
      </c>
      <c r="C240" s="5">
        <v>1138000</v>
      </c>
      <c r="D240" s="5">
        <f t="shared" si="6"/>
        <v>182080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 t="s">
        <v>347</v>
      </c>
      <c r="B241" s="4" t="s">
        <v>333</v>
      </c>
      <c r="C241" s="5">
        <v>1334000</v>
      </c>
      <c r="D241" s="5">
        <f t="shared" si="6"/>
        <v>213440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 t="s">
        <v>348</v>
      </c>
      <c r="B242" s="4" t="s">
        <v>128</v>
      </c>
      <c r="C242" s="5">
        <v>30000</v>
      </c>
      <c r="D242" s="5">
        <f t="shared" si="6"/>
        <v>4800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 t="s">
        <v>349</v>
      </c>
      <c r="B243" s="4" t="s">
        <v>128</v>
      </c>
      <c r="C243" s="5">
        <v>30000</v>
      </c>
      <c r="D243" s="5">
        <f t="shared" si="6"/>
        <v>4800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 t="s">
        <v>350</v>
      </c>
      <c r="B244" s="4" t="s">
        <v>351</v>
      </c>
      <c r="C244" s="5">
        <v>406000</v>
      </c>
      <c r="D244" s="5">
        <f t="shared" si="6"/>
        <v>64960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 t="s">
        <v>352</v>
      </c>
      <c r="B245" s="4" t="s">
        <v>351</v>
      </c>
      <c r="C245" s="5">
        <v>197000</v>
      </c>
      <c r="D245" s="5">
        <f t="shared" si="6"/>
        <v>31520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 t="s">
        <v>353</v>
      </c>
      <c r="B246" s="4" t="s">
        <v>351</v>
      </c>
      <c r="C246" s="5">
        <v>645000</v>
      </c>
      <c r="D246" s="5">
        <f t="shared" si="6"/>
        <v>103200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 t="s">
        <v>354</v>
      </c>
      <c r="B247" s="4" t="s">
        <v>351</v>
      </c>
      <c r="C247" s="5">
        <v>645000</v>
      </c>
      <c r="D247" s="5">
        <f t="shared" si="6"/>
        <v>103200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 t="s">
        <v>355</v>
      </c>
      <c r="B248" s="4" t="s">
        <v>351</v>
      </c>
      <c r="C248" s="5">
        <v>259000</v>
      </c>
      <c r="D248" s="5">
        <f t="shared" si="6"/>
        <v>41440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 t="s">
        <v>356</v>
      </c>
      <c r="B249" s="4" t="s">
        <v>351</v>
      </c>
      <c r="C249" s="5">
        <v>646000</v>
      </c>
      <c r="D249" s="5">
        <f t="shared" si="6"/>
        <v>103360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 t="s">
        <v>357</v>
      </c>
      <c r="B250" s="4" t="s">
        <v>351</v>
      </c>
      <c r="C250" s="5">
        <v>259000</v>
      </c>
      <c r="D250" s="5">
        <f t="shared" si="6"/>
        <v>41440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 t="s">
        <v>358</v>
      </c>
      <c r="B251" s="4" t="s">
        <v>351</v>
      </c>
      <c r="C251" s="5">
        <v>645000</v>
      </c>
      <c r="D251" s="5">
        <f t="shared" si="6"/>
        <v>103200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 t="s">
        <v>359</v>
      </c>
      <c r="B252" s="4" t="s">
        <v>351</v>
      </c>
      <c r="C252" s="5">
        <v>879000</v>
      </c>
      <c r="D252" s="5">
        <f t="shared" si="6"/>
        <v>140640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 t="s">
        <v>360</v>
      </c>
      <c r="B253" s="4" t="s">
        <v>351</v>
      </c>
      <c r="C253" s="5">
        <v>259000</v>
      </c>
      <c r="D253" s="5">
        <f t="shared" si="6"/>
        <v>41440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 t="s">
        <v>361</v>
      </c>
      <c r="B254" s="4" t="s">
        <v>351</v>
      </c>
      <c r="C254" s="5">
        <v>274000</v>
      </c>
      <c r="D254" s="5">
        <f t="shared" si="6"/>
        <v>43840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 t="s">
        <v>362</v>
      </c>
      <c r="B255" s="4" t="s">
        <v>351</v>
      </c>
      <c r="C255" s="5">
        <v>975000</v>
      </c>
      <c r="D255" s="5">
        <f t="shared" si="6"/>
        <v>156000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 t="s">
        <v>363</v>
      </c>
      <c r="B256" s="4" t="s">
        <v>351</v>
      </c>
      <c r="C256" s="5">
        <v>480000</v>
      </c>
      <c r="D256" s="5">
        <f t="shared" si="6"/>
        <v>76800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 t="s">
        <v>364</v>
      </c>
      <c r="B257" s="4" t="s">
        <v>351</v>
      </c>
      <c r="C257" s="5">
        <v>1187000</v>
      </c>
      <c r="D257" s="5">
        <f t="shared" si="6"/>
        <v>189920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 t="s">
        <v>365</v>
      </c>
      <c r="B258" s="4" t="s">
        <v>351</v>
      </c>
      <c r="C258" s="5">
        <v>832000</v>
      </c>
      <c r="D258" s="5">
        <f t="shared" si="6"/>
        <v>133120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 t="s">
        <v>366</v>
      </c>
      <c r="B259" s="4" t="s">
        <v>351</v>
      </c>
      <c r="C259" s="5">
        <v>227000</v>
      </c>
      <c r="D259" s="5">
        <f t="shared" ref="D259:D322" si="8">C259*0.16</f>
        <v>36320</v>
      </c>
      <c r="E259" s="4" t="str">
        <f t="shared" ref="E259:E322" si="9">CONCATENATE(A259,"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 t="s">
        <v>367</v>
      </c>
      <c r="B260" s="4" t="s">
        <v>351</v>
      </c>
      <c r="C260" s="5">
        <v>98000</v>
      </c>
      <c r="D260" s="5">
        <f t="shared" si="8"/>
        <v>15680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 t="s">
        <v>368</v>
      </c>
      <c r="B261" s="4" t="s">
        <v>351</v>
      </c>
      <c r="C261" s="5">
        <v>1190000</v>
      </c>
      <c r="D261" s="5">
        <f t="shared" si="8"/>
        <v>190400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 t="s">
        <v>369</v>
      </c>
      <c r="B262" s="4" t="s">
        <v>351</v>
      </c>
      <c r="C262" s="5">
        <v>300000</v>
      </c>
      <c r="D262" s="5">
        <f t="shared" si="8"/>
        <v>48000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 t="s">
        <v>370</v>
      </c>
      <c r="B263" s="4" t="s">
        <v>351</v>
      </c>
      <c r="C263" s="5">
        <v>2407000</v>
      </c>
      <c r="D263" s="5">
        <f t="shared" si="8"/>
        <v>385120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 t="s">
        <v>371</v>
      </c>
      <c r="B264" s="4" t="s">
        <v>351</v>
      </c>
      <c r="C264" s="5">
        <v>1021000</v>
      </c>
      <c r="D264" s="5">
        <f t="shared" si="8"/>
        <v>163360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 t="s">
        <v>372</v>
      </c>
      <c r="B265" s="4" t="s">
        <v>351</v>
      </c>
      <c r="C265" s="5">
        <v>646000</v>
      </c>
      <c r="D265" s="5">
        <f t="shared" si="8"/>
        <v>103360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 t="s">
        <v>373</v>
      </c>
      <c r="B266" s="4" t="s">
        <v>351</v>
      </c>
      <c r="C266" s="5">
        <v>259000</v>
      </c>
      <c r="D266" s="5">
        <f t="shared" si="8"/>
        <v>41440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 t="s">
        <v>374</v>
      </c>
      <c r="B267" s="4" t="s">
        <v>351</v>
      </c>
      <c r="C267" s="5">
        <v>193000</v>
      </c>
      <c r="D267" s="5">
        <f t="shared" si="8"/>
        <v>30880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 t="s">
        <v>375</v>
      </c>
      <c r="B268" s="4" t="s">
        <v>351</v>
      </c>
      <c r="C268" s="5">
        <v>96000</v>
      </c>
      <c r="D268" s="5">
        <f t="shared" si="8"/>
        <v>15360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 t="s">
        <v>376</v>
      </c>
      <c r="B269" s="4" t="s">
        <v>351</v>
      </c>
      <c r="C269" s="5">
        <v>594000</v>
      </c>
      <c r="D269" s="5">
        <f t="shared" si="8"/>
        <v>95040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 t="s">
        <v>377</v>
      </c>
      <c r="B270" s="4" t="s">
        <v>351</v>
      </c>
      <c r="C270" s="5">
        <v>282000</v>
      </c>
      <c r="D270" s="5">
        <f t="shared" si="8"/>
        <v>45120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 t="s">
        <v>378</v>
      </c>
      <c r="B271" s="4" t="s">
        <v>351</v>
      </c>
      <c r="C271" s="5">
        <v>1814000</v>
      </c>
      <c r="D271" s="5">
        <f t="shared" si="8"/>
        <v>290240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 t="s">
        <v>379</v>
      </c>
      <c r="B272" s="4" t="s">
        <v>351</v>
      </c>
      <c r="C272" s="5">
        <v>193000</v>
      </c>
      <c r="D272" s="5">
        <f t="shared" si="8"/>
        <v>30880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 t="s">
        <v>380</v>
      </c>
      <c r="B273" s="4" t="s">
        <v>351</v>
      </c>
      <c r="C273" s="5">
        <v>654000</v>
      </c>
      <c r="D273" s="5">
        <f t="shared" si="8"/>
        <v>104640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 t="s">
        <v>381</v>
      </c>
      <c r="B274" s="4" t="s">
        <v>351</v>
      </c>
      <c r="C274" s="5">
        <v>729000</v>
      </c>
      <c r="D274" s="5">
        <f t="shared" si="8"/>
        <v>116640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 t="s">
        <v>382</v>
      </c>
      <c r="B275" s="4" t="s">
        <v>351</v>
      </c>
      <c r="C275" s="5">
        <v>632000</v>
      </c>
      <c r="D275" s="5">
        <f t="shared" si="8"/>
        <v>101120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 t="s">
        <v>383</v>
      </c>
      <c r="B276" s="4" t="s">
        <v>351</v>
      </c>
      <c r="C276" s="5">
        <v>240000</v>
      </c>
      <c r="D276" s="5">
        <f t="shared" si="8"/>
        <v>38400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 t="s">
        <v>384</v>
      </c>
      <c r="B277" s="4" t="s">
        <v>385</v>
      </c>
      <c r="C277" s="5">
        <v>955000</v>
      </c>
      <c r="D277" s="5">
        <f t="shared" si="8"/>
        <v>152800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 t="s">
        <v>386</v>
      </c>
      <c r="B278" s="4" t="s">
        <v>385</v>
      </c>
      <c r="C278" s="5">
        <v>1126000</v>
      </c>
      <c r="D278" s="5">
        <f t="shared" si="8"/>
        <v>180160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 t="s">
        <v>387</v>
      </c>
      <c r="B279" s="4"/>
      <c r="C279" s="5"/>
      <c r="D279" s="5"/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 t="s">
        <v>388</v>
      </c>
      <c r="B280" s="4" t="s">
        <v>389</v>
      </c>
      <c r="C280" s="5">
        <v>297000</v>
      </c>
      <c r="D280" s="5">
        <f t="shared" si="8"/>
        <v>47520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 t="s">
        <v>390</v>
      </c>
      <c r="B281" s="4" t="s">
        <v>391</v>
      </c>
      <c r="C281" s="5">
        <v>646000</v>
      </c>
      <c r="D281" s="5">
        <f t="shared" si="8"/>
        <v>103360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 t="s">
        <v>392</v>
      </c>
      <c r="B282" s="4" t="s">
        <v>393</v>
      </c>
      <c r="C282" s="5">
        <v>714000</v>
      </c>
      <c r="D282" s="5">
        <f t="shared" si="8"/>
        <v>114240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 t="s">
        <v>394</v>
      </c>
      <c r="B283" s="4" t="s">
        <v>395</v>
      </c>
      <c r="C283" s="5">
        <v>807000</v>
      </c>
      <c r="D283" s="5">
        <f t="shared" si="8"/>
        <v>129120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 t="s">
        <v>396</v>
      </c>
      <c r="B284" s="4" t="s">
        <v>397</v>
      </c>
      <c r="C284" s="5">
        <v>591000</v>
      </c>
      <c r="D284" s="5">
        <f t="shared" si="8"/>
        <v>94560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 t="s">
        <v>398</v>
      </c>
      <c r="B285" s="4" t="s">
        <v>399</v>
      </c>
      <c r="C285" s="5">
        <v>918000</v>
      </c>
      <c r="D285" s="5">
        <f t="shared" si="8"/>
        <v>146880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 t="s">
        <v>400</v>
      </c>
      <c r="B286" s="4" t="s">
        <v>401</v>
      </c>
      <c r="C286" s="5">
        <v>1265000</v>
      </c>
      <c r="D286" s="5">
        <f t="shared" si="8"/>
        <v>202400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 t="s">
        <v>402</v>
      </c>
      <c r="B287" s="4" t="s">
        <v>403</v>
      </c>
      <c r="C287" s="5">
        <v>256000</v>
      </c>
      <c r="D287" s="5">
        <f t="shared" si="8"/>
        <v>40960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 t="s">
        <v>404</v>
      </c>
      <c r="B288" s="4" t="s">
        <v>405</v>
      </c>
      <c r="C288" s="5">
        <v>371000</v>
      </c>
      <c r="D288" s="5">
        <f t="shared" si="8"/>
        <v>59360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 t="s">
        <v>406</v>
      </c>
      <c r="B289" s="4" t="s">
        <v>407</v>
      </c>
      <c r="C289" s="5">
        <v>457000</v>
      </c>
      <c r="D289" s="5">
        <f t="shared" si="8"/>
        <v>73120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 t="s">
        <v>408</v>
      </c>
      <c r="B290" s="4" t="s">
        <v>409</v>
      </c>
      <c r="C290" s="5">
        <v>642000</v>
      </c>
      <c r="D290" s="5">
        <f t="shared" si="8"/>
        <v>102720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 t="s">
        <v>410</v>
      </c>
      <c r="B291" s="4" t="s">
        <v>411</v>
      </c>
      <c r="C291" s="5">
        <v>1571000</v>
      </c>
      <c r="D291" s="5">
        <f t="shared" si="8"/>
        <v>251360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 t="s">
        <v>412</v>
      </c>
      <c r="B292" s="4" t="s">
        <v>413</v>
      </c>
      <c r="C292" s="5">
        <v>756000</v>
      </c>
      <c r="D292" s="5">
        <f t="shared" si="8"/>
        <v>120960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 t="s">
        <v>414</v>
      </c>
      <c r="B293" s="4" t="s">
        <v>415</v>
      </c>
      <c r="C293" s="5">
        <v>1571000</v>
      </c>
      <c r="D293" s="5">
        <f t="shared" si="8"/>
        <v>251360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 t="s">
        <v>416</v>
      </c>
      <c r="B294" s="4" t="s">
        <v>417</v>
      </c>
      <c r="C294" s="5">
        <v>2716000</v>
      </c>
      <c r="D294" s="5">
        <f t="shared" si="8"/>
        <v>434560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 t="s">
        <v>418</v>
      </c>
      <c r="B295" s="4" t="s">
        <v>419</v>
      </c>
      <c r="C295" s="5">
        <v>640000</v>
      </c>
      <c r="D295" s="5">
        <f t="shared" si="8"/>
        <v>102400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 t="s">
        <v>420</v>
      </c>
      <c r="B296" s="4" t="s">
        <v>421</v>
      </c>
      <c r="C296" s="5">
        <v>255000</v>
      </c>
      <c r="D296" s="5">
        <f t="shared" si="8"/>
        <v>40800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 t="s">
        <v>422</v>
      </c>
      <c r="B297" s="4" t="s">
        <v>423</v>
      </c>
      <c r="C297" s="5">
        <v>413000</v>
      </c>
      <c r="D297" s="5">
        <f t="shared" si="8"/>
        <v>66080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 t="s">
        <v>424</v>
      </c>
      <c r="B298" s="4" t="s">
        <v>425</v>
      </c>
      <c r="C298" s="5">
        <v>361000</v>
      </c>
      <c r="D298" s="5">
        <f t="shared" si="8"/>
        <v>57760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 t="s">
        <v>426</v>
      </c>
      <c r="B299" s="4" t="s">
        <v>427</v>
      </c>
      <c r="C299" s="5">
        <v>544000</v>
      </c>
      <c r="D299" s="5">
        <f t="shared" si="8"/>
        <v>87040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 t="s">
        <v>428</v>
      </c>
      <c r="B300" s="4" t="s">
        <v>429</v>
      </c>
      <c r="C300" s="5">
        <v>678000</v>
      </c>
      <c r="D300" s="5">
        <f t="shared" si="8"/>
        <v>108480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 t="s">
        <v>430</v>
      </c>
      <c r="B301" s="4" t="s">
        <v>431</v>
      </c>
      <c r="C301" s="5">
        <v>1054000</v>
      </c>
      <c r="D301" s="5">
        <f t="shared" si="8"/>
        <v>168640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 t="s">
        <v>432</v>
      </c>
      <c r="B302" s="4" t="s">
        <v>433</v>
      </c>
      <c r="C302" s="5">
        <v>482000</v>
      </c>
      <c r="D302" s="5">
        <f t="shared" si="8"/>
        <v>77120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 t="s">
        <v>434</v>
      </c>
      <c r="B303" s="4" t="s">
        <v>435</v>
      </c>
      <c r="C303" s="5">
        <v>722000</v>
      </c>
      <c r="D303" s="5">
        <f t="shared" si="8"/>
        <v>115520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 t="s">
        <v>436</v>
      </c>
      <c r="B304" s="4" t="s">
        <v>437</v>
      </c>
      <c r="C304" s="5">
        <v>269000</v>
      </c>
      <c r="D304" s="5">
        <f t="shared" si="8"/>
        <v>43040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 t="s">
        <v>438</v>
      </c>
      <c r="B305" s="4" t="s">
        <v>437</v>
      </c>
      <c r="C305" s="5">
        <v>371000</v>
      </c>
      <c r="D305" s="5">
        <f t="shared" si="8"/>
        <v>59360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 t="s">
        <v>439</v>
      </c>
      <c r="B306" s="4" t="s">
        <v>440</v>
      </c>
      <c r="C306" s="5">
        <v>462000</v>
      </c>
      <c r="D306" s="5">
        <f t="shared" si="8"/>
        <v>73920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 t="s">
        <v>441</v>
      </c>
      <c r="B307" s="4" t="s">
        <v>442</v>
      </c>
      <c r="C307" s="5">
        <v>541000</v>
      </c>
      <c r="D307" s="5">
        <f t="shared" si="8"/>
        <v>86560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 t="s">
        <v>443</v>
      </c>
      <c r="B308" s="4" t="s">
        <v>444</v>
      </c>
      <c r="C308" s="5">
        <v>648000</v>
      </c>
      <c r="D308" s="5">
        <f t="shared" si="8"/>
        <v>103680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 t="s">
        <v>445</v>
      </c>
      <c r="B309" s="4" t="s">
        <v>446</v>
      </c>
      <c r="C309" s="5">
        <v>644000</v>
      </c>
      <c r="D309" s="5">
        <f t="shared" si="8"/>
        <v>103040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 t="s">
        <v>447</v>
      </c>
      <c r="B310" s="4" t="s">
        <v>448</v>
      </c>
      <c r="C310" s="5">
        <v>902000</v>
      </c>
      <c r="D310" s="5">
        <f t="shared" si="8"/>
        <v>144320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 t="s">
        <v>449</v>
      </c>
      <c r="B311" s="4" t="s">
        <v>450</v>
      </c>
      <c r="C311" s="5">
        <v>722000</v>
      </c>
      <c r="D311" s="5">
        <f t="shared" si="8"/>
        <v>115520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 t="s">
        <v>451</v>
      </c>
      <c r="B312" s="4" t="s">
        <v>450</v>
      </c>
      <c r="C312" s="5">
        <v>1457000</v>
      </c>
      <c r="D312" s="5">
        <f t="shared" si="8"/>
        <v>233120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 t="s">
        <v>452</v>
      </c>
      <c r="B313" s="4" t="s">
        <v>453</v>
      </c>
      <c r="C313" s="5">
        <v>1786000</v>
      </c>
      <c r="D313" s="5">
        <f t="shared" si="8"/>
        <v>285760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 t="s">
        <v>454</v>
      </c>
      <c r="B314" s="4"/>
      <c r="C314" s="5"/>
      <c r="D314" s="5"/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 t="s">
        <v>455</v>
      </c>
      <c r="B315" s="4" t="s">
        <v>456</v>
      </c>
      <c r="C315" s="5">
        <v>85000</v>
      </c>
      <c r="D315" s="5">
        <f t="shared" si="8"/>
        <v>13600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 t="s">
        <v>457</v>
      </c>
      <c r="B316" s="4" t="s">
        <v>456</v>
      </c>
      <c r="C316" s="5">
        <v>84000</v>
      </c>
      <c r="D316" s="5">
        <f t="shared" si="8"/>
        <v>13440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 t="s">
        <v>458</v>
      </c>
      <c r="B317" s="4" t="s">
        <v>459</v>
      </c>
      <c r="C317" s="5">
        <v>115000</v>
      </c>
      <c r="D317" s="5">
        <f t="shared" si="8"/>
        <v>18400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 t="s">
        <v>460</v>
      </c>
      <c r="B318" s="4" t="s">
        <v>459</v>
      </c>
      <c r="C318" s="5">
        <v>152000</v>
      </c>
      <c r="D318" s="5">
        <f t="shared" si="8"/>
        <v>24320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 t="s">
        <v>461</v>
      </c>
      <c r="B319" s="4" t="s">
        <v>456</v>
      </c>
      <c r="C319" s="5">
        <v>82000</v>
      </c>
      <c r="D319" s="5">
        <f t="shared" si="8"/>
        <v>13120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 t="s">
        <v>462</v>
      </c>
      <c r="B320" s="4" t="s">
        <v>456</v>
      </c>
      <c r="C320" s="5">
        <v>84000</v>
      </c>
      <c r="D320" s="5">
        <f t="shared" si="8"/>
        <v>13440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 t="s">
        <v>463</v>
      </c>
      <c r="B321" s="4" t="s">
        <v>464</v>
      </c>
      <c r="C321" s="5">
        <v>115000</v>
      </c>
      <c r="D321" s="5">
        <f t="shared" si="8"/>
        <v>18400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 t="s">
        <v>465</v>
      </c>
      <c r="B322" s="4" t="s">
        <v>464</v>
      </c>
      <c r="C322" s="5">
        <v>153000</v>
      </c>
      <c r="D322" s="5">
        <f t="shared" si="8"/>
        <v>24480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 t="s">
        <v>466</v>
      </c>
      <c r="B323" s="4" t="s">
        <v>464</v>
      </c>
      <c r="C323" s="5">
        <v>80000</v>
      </c>
      <c r="D323" s="5">
        <f t="shared" ref="D323:D337" si="10">C323*0.16</f>
        <v>12800</v>
      </c>
      <c r="E323" s="4" t="str">
        <f t="shared" ref="E323:E337" si="11">CONCATENATE(A323,"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 t="s">
        <v>467</v>
      </c>
      <c r="B324" s="4" t="s">
        <v>464</v>
      </c>
      <c r="C324" s="5">
        <v>102000</v>
      </c>
      <c r="D324" s="5">
        <f t="shared" si="10"/>
        <v>16320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 t="s">
        <v>468</v>
      </c>
      <c r="B325" s="4"/>
      <c r="C325" s="5"/>
      <c r="D325" s="5"/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 t="s">
        <v>469</v>
      </c>
      <c r="B326" s="4" t="s">
        <v>470</v>
      </c>
      <c r="C326" s="5">
        <v>198000</v>
      </c>
      <c r="D326" s="5">
        <f t="shared" si="10"/>
        <v>31680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 t="s">
        <v>471</v>
      </c>
      <c r="B327" s="4" t="s">
        <v>470</v>
      </c>
      <c r="C327" s="5">
        <v>233000</v>
      </c>
      <c r="D327" s="5">
        <f t="shared" si="10"/>
        <v>37280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 t="s">
        <v>472</v>
      </c>
      <c r="B328" s="4" t="s">
        <v>470</v>
      </c>
      <c r="C328" s="5">
        <v>279000</v>
      </c>
      <c r="D328" s="5">
        <f t="shared" si="10"/>
        <v>44640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 t="s">
        <v>473</v>
      </c>
      <c r="B329" s="4" t="s">
        <v>474</v>
      </c>
      <c r="C329" s="5">
        <v>298000</v>
      </c>
      <c r="D329" s="5">
        <f t="shared" si="10"/>
        <v>47680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 t="s">
        <v>475</v>
      </c>
      <c r="B330" s="4" t="s">
        <v>474</v>
      </c>
      <c r="C330" s="5">
        <v>478000</v>
      </c>
      <c r="D330" s="5">
        <f t="shared" si="10"/>
        <v>76480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 t="s">
        <v>476</v>
      </c>
      <c r="B331" s="4" t="s">
        <v>474</v>
      </c>
      <c r="C331" s="5">
        <v>626000</v>
      </c>
      <c r="D331" s="5">
        <f t="shared" si="10"/>
        <v>100160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 t="s">
        <v>477</v>
      </c>
      <c r="B332" s="4" t="s">
        <v>474</v>
      </c>
      <c r="C332" s="5">
        <v>757000</v>
      </c>
      <c r="D332" s="5">
        <f t="shared" si="10"/>
        <v>121120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 t="s">
        <v>478</v>
      </c>
      <c r="B333" s="4" t="s">
        <v>474</v>
      </c>
      <c r="C333" s="5">
        <v>1128000</v>
      </c>
      <c r="D333" s="5">
        <f t="shared" si="10"/>
        <v>180480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 t="s">
        <v>479</v>
      </c>
      <c r="B334" s="4" t="s">
        <v>474</v>
      </c>
      <c r="C334" s="5">
        <v>1527000</v>
      </c>
      <c r="D334" s="5">
        <f t="shared" si="10"/>
        <v>244320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 t="s">
        <v>480</v>
      </c>
      <c r="B335" s="4" t="s">
        <v>481</v>
      </c>
      <c r="C335" s="5">
        <v>4134000</v>
      </c>
      <c r="D335" s="5">
        <f t="shared" si="10"/>
        <v>661440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 t="s">
        <v>482</v>
      </c>
      <c r="B336" s="4" t="s">
        <v>481</v>
      </c>
      <c r="C336" s="5">
        <v>6850000</v>
      </c>
      <c r="D336" s="5">
        <f t="shared" si="10"/>
        <v>1096000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 t="s">
        <v>483</v>
      </c>
      <c r="B337" s="4" t="s">
        <v>481</v>
      </c>
      <c r="C337" s="5">
        <v>11712000</v>
      </c>
      <c r="D337" s="5">
        <f t="shared" si="10"/>
        <v>1873920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5"/>
  <sheetViews>
    <sheetView workbookViewId="0"/>
  </sheetViews>
  <sheetFormatPr defaultColWidth="14.42578125" defaultRowHeight="15" customHeight="1" x14ac:dyDescent="0.2"/>
  <cols>
    <col min="1" max="1" width="16.28515625" customWidth="1"/>
    <col min="2" max="2" width="18.5703125" customWidth="1"/>
    <col min="3" max="3" width="19.28515625" customWidth="1"/>
    <col min="4" max="5" width="14" customWidth="1"/>
    <col min="6" max="6" width="9.28515625" customWidth="1"/>
    <col min="7" max="7" width="9.28515625" bestFit="1" customWidth="1"/>
    <col min="8" max="8" width="14.28515625" customWidth="1"/>
    <col min="9" max="9" width="8" customWidth="1"/>
    <col min="10" max="27" width="9.28515625" customWidth="1"/>
  </cols>
  <sheetData>
    <row r="1" spans="1:27" ht="12.75" customHeight="1" x14ac:dyDescent="0.2">
      <c r="A1" s="6" t="s">
        <v>484</v>
      </c>
      <c r="B1" s="6" t="s">
        <v>485</v>
      </c>
      <c r="C1" s="23" t="s">
        <v>579</v>
      </c>
      <c r="D1" s="23" t="s">
        <v>580</v>
      </c>
      <c r="E1" s="4"/>
      <c r="F1" s="16" t="s">
        <v>485</v>
      </c>
      <c r="G1" s="16" t="s">
        <v>571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2.75" customHeight="1" x14ac:dyDescent="0.2">
      <c r="A2" s="7" t="s">
        <v>486</v>
      </c>
      <c r="B2" s="7">
        <v>40</v>
      </c>
      <c r="C2" s="7" t="str">
        <f>VLOOKUP(B2,$F$2:$G$5,2,FALSE)</f>
        <v>Sufficiente</v>
      </c>
      <c r="D2" s="8" t="e">
        <f ca="1">cerca.x(B2:B8,F2:F5,G2:G5,"Valore non trovato",FALSE)</f>
        <v>#NAME?</v>
      </c>
      <c r="E2" s="8"/>
      <c r="F2" s="8">
        <v>0</v>
      </c>
      <c r="G2" s="17" t="s">
        <v>572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2.75" customHeight="1" x14ac:dyDescent="0.2">
      <c r="A3" s="7" t="s">
        <v>487</v>
      </c>
      <c r="B3" s="7">
        <v>60</v>
      </c>
      <c r="C3" s="7" t="str">
        <f t="shared" ref="C3:C8" si="0">VLOOKUP(B3,$F$2:$G$5,2,FALSE)</f>
        <v>Discreto</v>
      </c>
      <c r="D3" s="8" t="e">
        <f t="shared" ref="D3:D8" ca="1" si="1">cerca.x(B3:B9,F3:F6,G3:G6,"Valore non trovato",FALSE)</f>
        <v>#NAME?</v>
      </c>
      <c r="F3" s="8">
        <v>40</v>
      </c>
      <c r="G3" s="17" t="s">
        <v>573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2.75" customHeight="1" x14ac:dyDescent="0.2">
      <c r="A4" s="7" t="s">
        <v>488</v>
      </c>
      <c r="B4" s="7">
        <v>60</v>
      </c>
      <c r="C4" s="7" t="str">
        <f t="shared" si="0"/>
        <v>Discreto</v>
      </c>
      <c r="D4" s="8" t="e">
        <f t="shared" ca="1" si="1"/>
        <v>#NAME?</v>
      </c>
      <c r="F4" s="8">
        <v>60</v>
      </c>
      <c r="G4" s="17" t="s">
        <v>574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2.75" customHeight="1" x14ac:dyDescent="0.2">
      <c r="A5" s="7" t="s">
        <v>489</v>
      </c>
      <c r="B5" s="7">
        <v>40</v>
      </c>
      <c r="C5" s="7" t="str">
        <f t="shared" si="0"/>
        <v>Sufficiente</v>
      </c>
      <c r="D5" s="8" t="e">
        <f t="shared" ca="1" si="1"/>
        <v>#NAME?</v>
      </c>
      <c r="F5" s="8">
        <v>70</v>
      </c>
      <c r="G5" s="17" t="s">
        <v>575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 customHeight="1" x14ac:dyDescent="0.2">
      <c r="A6" s="7" t="s">
        <v>490</v>
      </c>
      <c r="B6" s="7">
        <v>70</v>
      </c>
      <c r="C6" s="7" t="str">
        <f t="shared" si="0"/>
        <v>Buono</v>
      </c>
      <c r="D6" s="8" t="e">
        <f t="shared" ca="1" si="1"/>
        <v>#NAME?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2.75" customHeight="1" x14ac:dyDescent="0.2">
      <c r="A7" s="7" t="s">
        <v>491</v>
      </c>
      <c r="B7" s="7">
        <v>0</v>
      </c>
      <c r="C7" s="7" t="str">
        <f t="shared" si="0"/>
        <v>Respinto</v>
      </c>
      <c r="D7" s="8" t="e">
        <f t="shared" ca="1" si="1"/>
        <v>#NAME?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7" t="s">
        <v>492</v>
      </c>
      <c r="B8" s="7">
        <v>0</v>
      </c>
      <c r="C8" s="7" t="str">
        <f t="shared" si="0"/>
        <v>Respinto</v>
      </c>
      <c r="D8" s="8" t="e">
        <f t="shared" ca="1" si="1"/>
        <v>#NAME?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2.75" customHeight="1" x14ac:dyDescent="0.2">
      <c r="A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zoomScaleNormal="100" workbookViewId="0"/>
  </sheetViews>
  <sheetFormatPr defaultColWidth="14.42578125" defaultRowHeight="15" customHeight="1" x14ac:dyDescent="0.2"/>
  <cols>
    <col min="1" max="1" width="9.85546875" customWidth="1"/>
    <col min="2" max="2" width="28.28515625" customWidth="1"/>
    <col min="3" max="3" width="21.28515625" customWidth="1"/>
    <col min="4" max="4" width="18" customWidth="1"/>
    <col min="5" max="5" width="21.7109375" customWidth="1"/>
    <col min="6" max="6" width="3.7109375" customWidth="1"/>
    <col min="7" max="7" width="12.42578125" bestFit="1" customWidth="1"/>
    <col min="8" max="8" width="12.140625" bestFit="1" customWidth="1"/>
    <col min="9" max="9" width="8.7109375" customWidth="1"/>
    <col min="10" max="10" width="13.28515625" bestFit="1" customWidth="1"/>
    <col min="11" max="11" width="12.140625" bestFit="1" customWidth="1"/>
    <col min="12" max="12" width="8.7109375" customWidth="1"/>
    <col min="13" max="13" width="12.42578125" bestFit="1" customWidth="1"/>
    <col min="14" max="14" width="14" bestFit="1" customWidth="1"/>
    <col min="15" max="15" width="8.7109375" customWidth="1"/>
    <col min="16" max="16" width="13.28515625" bestFit="1" customWidth="1"/>
    <col min="17" max="17" width="12.42578125" bestFit="1" customWidth="1"/>
    <col min="18" max="24" width="8.7109375" customWidth="1"/>
  </cols>
  <sheetData>
    <row r="1" spans="1:24" ht="18" thickBot="1" x14ac:dyDescent="0.3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8" t="s">
        <v>495</v>
      </c>
      <c r="H1" s="18" t="s">
        <v>576</v>
      </c>
      <c r="I1" s="19"/>
      <c r="J1" s="18" t="s">
        <v>577</v>
      </c>
      <c r="K1" s="18" t="s">
        <v>576</v>
      </c>
      <c r="L1" s="18"/>
      <c r="M1" s="18" t="s">
        <v>495</v>
      </c>
      <c r="N1" s="18" t="s">
        <v>578</v>
      </c>
      <c r="O1" s="18"/>
      <c r="P1" s="18" t="s">
        <v>577</v>
      </c>
      <c r="Q1" s="18" t="s">
        <v>578</v>
      </c>
      <c r="R1" s="11"/>
      <c r="S1" s="11"/>
      <c r="T1" s="11"/>
      <c r="U1" s="11"/>
      <c r="V1" s="11"/>
      <c r="W1" s="11"/>
      <c r="X1" s="11"/>
    </row>
    <row r="2" spans="1:24" ht="13.5" customHeight="1" thickTop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t="s">
        <v>499</v>
      </c>
      <c r="H2">
        <f>COUNTIF($C$2:$C$80,G2)</f>
        <v>11</v>
      </c>
      <c r="J2" t="s">
        <v>501</v>
      </c>
      <c r="K2">
        <f>COUNTIF($B$2:$B$80,J2)</f>
        <v>2</v>
      </c>
      <c r="M2" t="s">
        <v>499</v>
      </c>
      <c r="N2" s="20">
        <f>SUMIF(C$2:C$80,M2,D$2:D$80)</f>
        <v>611780</v>
      </c>
      <c r="P2" t="s">
        <v>501</v>
      </c>
      <c r="Q2" s="21">
        <f>SUMIF($B$2:$B$80,P2,$D$2:$D$80)</f>
        <v>73450</v>
      </c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t="s">
        <v>558</v>
      </c>
      <c r="H3">
        <f t="shared" ref="H3:H5" si="0">COUNTIF($C$2:$C$80,G3)</f>
        <v>5</v>
      </c>
      <c r="J3" t="s">
        <v>507</v>
      </c>
      <c r="K3">
        <f t="shared" ref="K3:K8" si="1">COUNTIF($B$2:$B$80,J3)</f>
        <v>1</v>
      </c>
      <c r="M3" t="s">
        <v>558</v>
      </c>
      <c r="N3" s="20">
        <f t="shared" ref="N3:N5" si="2">SUMIF(C$2:C$80,M3,D$2:D$80)</f>
        <v>30860</v>
      </c>
      <c r="P3" t="s">
        <v>507</v>
      </c>
      <c r="Q3" s="21">
        <f t="shared" ref="Q3:Q8" si="3">SUMIF($B$2:$B$80,P3,$D$2:$D$80)</f>
        <v>50800</v>
      </c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t="s">
        <v>506</v>
      </c>
      <c r="H4">
        <f t="shared" si="0"/>
        <v>4</v>
      </c>
      <c r="J4" t="s">
        <v>509</v>
      </c>
      <c r="K4">
        <f t="shared" si="1"/>
        <v>1</v>
      </c>
      <c r="M4" t="s">
        <v>506</v>
      </c>
      <c r="N4" s="20">
        <f t="shared" si="2"/>
        <v>54000</v>
      </c>
      <c r="P4" t="s">
        <v>509</v>
      </c>
      <c r="Q4" s="21">
        <f t="shared" si="3"/>
        <v>98450</v>
      </c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t="s">
        <v>547</v>
      </c>
      <c r="H5">
        <f t="shared" si="0"/>
        <v>4</v>
      </c>
      <c r="J5" s="22" t="s">
        <v>511</v>
      </c>
      <c r="K5">
        <f t="shared" si="1"/>
        <v>1</v>
      </c>
      <c r="M5" t="s">
        <v>547</v>
      </c>
      <c r="N5" s="20">
        <f t="shared" si="2"/>
        <v>6765600</v>
      </c>
      <c r="P5" s="22" t="s">
        <v>511</v>
      </c>
      <c r="Q5" s="21">
        <f t="shared" si="3"/>
        <v>7950</v>
      </c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J6" t="s">
        <v>525</v>
      </c>
      <c r="K6">
        <f t="shared" si="1"/>
        <v>4</v>
      </c>
      <c r="P6" t="s">
        <v>525</v>
      </c>
      <c r="Q6" s="21">
        <f t="shared" si="3"/>
        <v>283000</v>
      </c>
    </row>
    <row r="7" spans="1:24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J7" t="s">
        <v>528</v>
      </c>
      <c r="K7">
        <f t="shared" si="1"/>
        <v>2</v>
      </c>
      <c r="P7" t="s">
        <v>528</v>
      </c>
      <c r="Q7" s="21">
        <f t="shared" si="3"/>
        <v>107700</v>
      </c>
    </row>
    <row r="8" spans="1:24" ht="13.5" customHeight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J8" s="22" t="s">
        <v>529</v>
      </c>
      <c r="K8">
        <f t="shared" si="1"/>
        <v>1</v>
      </c>
      <c r="P8" s="22" t="s">
        <v>529</v>
      </c>
      <c r="Q8" s="21">
        <f t="shared" si="3"/>
        <v>27270</v>
      </c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</row>
    <row r="10" spans="1:24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D82" s="14"/>
      <c r="E82" s="14"/>
    </row>
    <row r="83" spans="4:5" ht="13.5" customHeight="1" x14ac:dyDescent="0.2">
      <c r="D83" s="14"/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autoFilter ref="C1:C1000" xr:uid="{00000000-0001-0000-02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Antonino Lanza</cp:lastModifiedBy>
  <dcterms:created xsi:type="dcterms:W3CDTF">2005-04-12T12:35:30Z</dcterms:created>
  <dcterms:modified xsi:type="dcterms:W3CDTF">2025-12-14T14:05:29Z</dcterms:modified>
</cp:coreProperties>
</file>