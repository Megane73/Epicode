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2\01 - Lunedì\"/>
    </mc:Choice>
  </mc:AlternateContent>
  <xr:revisionPtr revIDLastSave="0" documentId="13_ncr:1_{A5432765-AECA-4107-9F25-B80F0D6F6B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otti" sheetId="1" r:id="rId1"/>
  </sheets>
  <definedNames>
    <definedName name="_xlnm._FilterDatabase" localSheetId="0" hidden="1">Prodotti!$A$17:$A$20</definedName>
  </definedNames>
  <calcPr calcId="181029"/>
</workbook>
</file>

<file path=xl/calcChain.xml><?xml version="1.0" encoding="utf-8"?>
<calcChain xmlns="http://schemas.openxmlformats.org/spreadsheetml/2006/main">
  <c r="C20" i="1" l="1"/>
  <c r="E3" i="1"/>
  <c r="E4" i="1"/>
  <c r="E5" i="1"/>
  <c r="C17" i="1" s="1"/>
  <c r="E6" i="1"/>
  <c r="E7" i="1"/>
  <c r="E8" i="1"/>
  <c r="E9" i="1"/>
  <c r="C18" i="1" s="1"/>
  <c r="E10" i="1"/>
  <c r="E11" i="1"/>
  <c r="E2" i="1"/>
  <c r="B18" i="1"/>
  <c r="B19" i="1"/>
  <c r="B20" i="1"/>
  <c r="B17" i="1"/>
  <c r="C19" i="1" l="1"/>
</calcChain>
</file>

<file path=xl/sharedStrings.xml><?xml version="1.0" encoding="utf-8"?>
<sst xmlns="http://schemas.openxmlformats.org/spreadsheetml/2006/main" count="32" uniqueCount="21">
  <si>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</si>
  <si>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</si>
  <si>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</si>
  <si>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</si>
  <si>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</si>
  <si>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</si>
  <si>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</si>
  <si>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</si>
  <si>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</si>
  <si>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</si>
  <si>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</si>
  <si>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</si>
  <si>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</si>
  <si>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</si>
  <si>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</si>
  <si>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</si>
  <si>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</si>
  <si>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</si>
  <si>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</si>
  <si>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Totale prodotto</t>
  </si>
  <si>
    <t>Totale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</si>
</sst>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>
                    <a:lumMod val="75000"/>
                    <a:lumOff val="2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it-IT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Totale spesa e numero acquisti per azienda</a:t>
            </a:r>
          </a:p>
        </c:rich>
      </c:tx>
      <c:layout>
        <c:manualLayout>
          <c:xMode val="edge"/>
          <c:yMode val="edge"/>
          <c:x val="0.19634011770362655"/>
          <c:y val="2.5365857555729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rgbClr val="000000">
                  <a:lumMod val="75000"/>
                  <a:lumOff val="25000"/>
                </a:srgb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Prodotti!$B$16</c:f>
              <c:strCache>
                <c:ptCount val="1"/>
                <c:pt idx="0">
                  <c:v>Totale prodotto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Prodotti!$A$17:$A$20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Prodotti!$B$17:$B$20</c:f>
              <c:numCache>
                <c:formatCode>General</c:formatCode>
                <c:ptCount val="4"/>
                <c:pt idx="0">
                  <c:v>2000</c:v>
                </c:pt>
                <c:pt idx="1">
                  <c:v>3400</c:v>
                </c:pt>
                <c:pt idx="2">
                  <c:v>2200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0-4627-A08F-218C0EB2C1D9}"/>
            </c:ext>
          </c:extLst>
        </c:ser>
        <c:ser>
          <c:idx val="1"/>
          <c:order val="1"/>
          <c:tx>
            <c:strRef>
              <c:f>Prodotti!$C$16</c:f>
              <c:strCache>
                <c:ptCount val="1"/>
                <c:pt idx="0">
                  <c:v>Totale Costo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Prodotti!$A$17:$A$20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Prodotti!$C$17:$C$20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0-4627-A08F-218C0EB2C1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14816976"/>
        <c:axId val="614813736"/>
      </c:barChart>
      <c:catAx>
        <c:axId val="61481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4813736"/>
        <c:crosses val="autoZero"/>
        <c:auto val="1"/>
        <c:lblAlgn val="ctr"/>
        <c:lblOffset val="100"/>
        <c:noMultiLvlLbl val="0"/>
      </c:catAx>
      <c:valAx>
        <c:axId val="614813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481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Totale Costo per Azienda</a:t>
            </a:r>
          </a:p>
        </c:rich>
      </c:tx>
      <c:layout>
        <c:manualLayout>
          <c:xMode val="edge"/>
          <c:yMode val="edge"/>
          <c:x val="0.2997212543554007"/>
          <c:y val="5.6384728226393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Prodotti!$C$16</c:f>
              <c:strCache>
                <c:ptCount val="1"/>
                <c:pt idx="0">
                  <c:v>Totale Costo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Prodotti!$A$17:$A$20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Prodotti!$C$17:$C$20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6-41B0-ACBF-B5EC91CC28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Prodotti!$C$1</c:f>
              <c:strCache>
                <c:ptCount val="1"/>
                <c:pt idx="0">
                  <c:v>Quantità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Prodotti!$C$2:$C$11</c:f>
              <c:numCache>
                <c:formatCode>General</c:formatCode>
                <c:ptCount val="10"/>
                <c:pt idx="0">
                  <c:v>500</c:v>
                </c:pt>
                <c:pt idx="1">
                  <c:v>1200</c:v>
                </c:pt>
                <c:pt idx="2">
                  <c:v>800</c:v>
                </c:pt>
                <c:pt idx="3">
                  <c:v>300</c:v>
                </c:pt>
                <c:pt idx="4">
                  <c:v>1500</c:v>
                </c:pt>
                <c:pt idx="5">
                  <c:v>700</c:v>
                </c:pt>
                <c:pt idx="6">
                  <c:v>900</c:v>
                </c:pt>
                <c:pt idx="7">
                  <c:v>1100</c:v>
                </c:pt>
                <c:pt idx="8">
                  <c:v>600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EDE-8D09-44CAABC56F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34164368"/>
        <c:axId val="634163648"/>
      </c:barChart>
      <c:catAx>
        <c:axId val="63416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4163648"/>
        <c:crosses val="autoZero"/>
        <c:auto val="1"/>
        <c:lblAlgn val="ctr"/>
        <c:lblOffset val="100"/>
        <c:noMultiLvlLbl val="0"/>
      </c:catAx>
      <c:valAx>
        <c:axId val="634163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416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Speda Totale per categoria prodotti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Prodotti!$B$2</c:f>
              <c:strCache>
                <c:ptCount val="1"/>
                <c:pt idx="0">
                  <c:v>Tecnologia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Prodotti!$E$2</c:f>
              <c:numCache>
                <c:formatCode>#,##0.00\ "€"</c:formatCode>
                <c:ptCount val="1"/>
                <c:pt idx="0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8BE-8AEE-A488F33047D1}"/>
            </c:ext>
          </c:extLst>
        </c:ser>
        <c:ser>
          <c:idx val="1"/>
          <c:order val="1"/>
          <c:tx>
            <c:strRef>
              <c:f>Prodotti!$B$3</c:f>
              <c:strCache>
                <c:ptCount val="1"/>
                <c:pt idx="0">
                  <c:v>Cibo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Prodotti!$E$3</c:f>
              <c:numCache>
                <c:formatCode>#,##0.00\ "€"</c:formatCode>
                <c:ptCount val="1"/>
                <c:pt idx="0">
                  <c:v>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5-48BE-8AEE-A488F33047D1}"/>
            </c:ext>
          </c:extLst>
        </c:ser>
        <c:ser>
          <c:idx val="2"/>
          <c:order val="2"/>
          <c:tx>
            <c:strRef>
              <c:f>Prodotti!$B$4</c:f>
              <c:strCache>
                <c:ptCount val="1"/>
                <c:pt idx="0">
                  <c:v>Pannelli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Prodotti!$E$4</c:f>
              <c:numCache>
                <c:formatCode>#,##0.00\ "€"</c:formatCode>
                <c:ptCount val="1"/>
                <c:pt idx="0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95-48BE-8AEE-A488F33047D1}"/>
            </c:ext>
          </c:extLst>
        </c:ser>
        <c:ser>
          <c:idx val="3"/>
          <c:order val="3"/>
          <c:tx>
            <c:strRef>
              <c:f>Prodotti!$B$5</c:f>
              <c:strCache>
                <c:ptCount val="1"/>
                <c:pt idx="0">
                  <c:v>Quanti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Prodotti!$E$5</c:f>
              <c:numCache>
                <c:formatCode>#,##0.00\ "€"</c:formatCode>
                <c:ptCount val="1"/>
                <c:pt idx="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95-48BE-8AEE-A488F33047D1}"/>
            </c:ext>
          </c:extLst>
        </c:ser>
        <c:ser>
          <c:idx val="4"/>
          <c:order val="4"/>
          <c:tx>
            <c:strRef>
              <c:f>Prodotti!$B$6</c:f>
              <c:strCache>
                <c:ptCount val="1"/>
                <c:pt idx="0">
                  <c:v>Infinito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Prodotti!$E$6</c:f>
              <c:numCache>
                <c:formatCode>#,##0.00\ "€"</c:formatCode>
                <c:ptCount val="1"/>
                <c:pt idx="0">
                  <c:v>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95-48BE-8AEE-A488F33047D1}"/>
            </c:ext>
          </c:extLst>
        </c:ser>
        <c:ser>
          <c:idx val="5"/>
          <c:order val="5"/>
          <c:tx>
            <c:strRef>
              <c:f>Prodotti!$B$7</c:f>
              <c:strCache>
                <c:ptCount val="1"/>
                <c:pt idx="0">
                  <c:v>Crema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Prodotti!$E$7</c:f>
              <c:numCache>
                <c:formatCode>#,##0.00\ "€"</c:formatCode>
                <c:ptCount val="1"/>
                <c:pt idx="0">
                  <c:v>13125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95-48BE-8AEE-A488F33047D1}"/>
            </c:ext>
          </c:extLst>
        </c:ser>
        <c:ser>
          <c:idx val="6"/>
          <c:order val="6"/>
          <c:tx>
            <c:strRef>
              <c:f>Prodotti!$B$8</c:f>
              <c:strCache>
                <c:ptCount val="1"/>
                <c:pt idx="0">
                  <c:v>Acqua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Prodotti!$E$8</c:f>
              <c:numCache>
                <c:formatCode>#,##0.00\ "€"</c:formatCode>
                <c:ptCount val="1"/>
                <c:pt idx="0">
                  <c:v>12600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95-48BE-8AEE-A488F33047D1}"/>
            </c:ext>
          </c:extLst>
        </c:ser>
        <c:ser>
          <c:idx val="7"/>
          <c:order val="7"/>
          <c:tx>
            <c:strRef>
              <c:f>Prodotti!$B$9</c:f>
              <c:strCache>
                <c:ptCount val="1"/>
                <c:pt idx="0">
                  <c:v>Orizzonte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Prodotti!$E$9</c:f>
              <c:numCache>
                <c:formatCode>#,##0.00\ "€"</c:formatCode>
                <c:ptCount val="1"/>
                <c:pt idx="0">
                  <c:v>11550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95-48BE-8AEE-A488F33047D1}"/>
            </c:ext>
          </c:extLst>
        </c:ser>
        <c:ser>
          <c:idx val="8"/>
          <c:order val="8"/>
          <c:tx>
            <c:strRef>
              <c:f>Prodotti!$B$10</c:f>
              <c:strCache>
                <c:ptCount val="1"/>
                <c:pt idx="0">
                  <c:v>Pianeta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Prodotti!$E$10</c:f>
              <c:numCache>
                <c:formatCode>#,##0.00\ "€"</c:formatCode>
                <c:ptCount val="1"/>
                <c:pt idx="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95-48BE-8AEE-A488F33047D1}"/>
            </c:ext>
          </c:extLst>
        </c:ser>
        <c:ser>
          <c:idx val="9"/>
          <c:order val="9"/>
          <c:tx>
            <c:strRef>
              <c:f>Prodotti!$B$11</c:f>
              <c:strCache>
                <c:ptCount val="1"/>
                <c:pt idx="0">
                  <c:v>Vibrazione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Prodotti!$E$11</c:f>
              <c:numCache>
                <c:formatCode>#,##0.00\ "€"</c:formatCode>
                <c:ptCount val="1"/>
                <c:pt idx="0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95-48BE-8AEE-A488F33047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19001528"/>
        <c:axId val="619001888"/>
      </c:barChart>
      <c:catAx>
        <c:axId val="61900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9001888"/>
        <c:crosses val="autoZero"/>
        <c:auto val="1"/>
        <c:lblAlgn val="ctr"/>
        <c:lblOffset val="100"/>
        <c:noMultiLvlLbl val="0"/>
      </c:catAx>
      <c:valAx>
        <c:axId val="6190018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61900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492125</xdr:colOff>
      <xdr:row>0</xdr:row>
      <xdr:rowOff>31750</xdr:rowOff>
    </xdr:from>
    <xdr:to>
      <xdr:col>13</xdr:col>
      <xdr:colOff>499450</xdr:colOff>
      <xdr:row>17</xdr:row>
      <xdr:rowOff>39076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32DF15B-50E5-C81D-B0C1-AB8A166D2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444500</xdr:colOff>
      <xdr:row>22</xdr:row>
      <xdr:rowOff>111125</xdr:rowOff>
    </xdr:from>
    <xdr:to>
      <xdr:col>13</xdr:col>
      <xdr:colOff>473075</xdr:colOff>
      <xdr:row>40</xdr:row>
      <xdr:rowOff>127001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579E97D-B17D-AFAA-05C4-1ABA6B16A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368300</xdr:colOff>
      <xdr:row>0</xdr:row>
      <xdr:rowOff>142875</xdr:rowOff>
    </xdr:from>
    <xdr:to>
      <xdr:col>21</xdr:col>
      <xdr:colOff>390525</xdr:colOff>
      <xdr:row>34</xdr:row>
      <xdr:rowOff>117475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320D159-4265-6696-990B-A3EDBA7B3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490140</xdr:colOff>
      <xdr:row>0</xdr:row>
      <xdr:rowOff>190500</xdr:rowOff>
    </xdr:from>
    <xdr:to>
      <xdr:col>29</xdr:col>
      <xdr:colOff>508000</xdr:colOff>
      <xdr:row>35</xdr:row>
      <xdr:rowOff>47625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1FD0CD8-8711-F214-62AC-D8B1BA0F7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0"/>
  <sheetViews>
    <sheetView tabSelected="1" zoomScale="60" zoomScaleNormal="60" workbookViewId="0"/>
  </sheetViews>
  <sheetFormatPr defaultColWidth="12.5703125" defaultRowHeight="15.75" customHeight="1" x14ac:dyDescent="0.2"/>
  <cols>
    <col min="1" max="1" width="18.7109375" bestFit="1" customWidth="1"/>
    <col min="2" max="2" width="15" bestFit="1" customWidth="1"/>
    <col min="3" max="3" width="12.85546875" bestFit="1" customWidth="1"/>
    <col min="4" max="4" width="8.140625" bestFit="1" customWidth="1"/>
    <col min="5" max="5" width="12.85546875" bestFit="1" customWidth="1"/>
    <col min="6" max="7" width="12.85546875" customWidth="1"/>
    <col min="8" max="8" width="12.7109375" customWidth="1"/>
    <col min="11" max="11" width="18.7109375" bestFit="1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I1" s="1"/>
      <c r="J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2" t="s">
        <v>5</v>
      </c>
      <c r="B2" s="2" t="s">
        <v>6</v>
      </c>
      <c r="C2" s="2">
        <v>500</v>
      </c>
      <c r="D2" s="3">
        <v>15.75</v>
      </c>
      <c r="E2" s="5">
        <f>C2*D2</f>
        <v>7875</v>
      </c>
      <c r="F2" s="5"/>
      <c r="G2" s="5"/>
      <c r="L2" s="2"/>
    </row>
    <row r="3" spans="1:29" ht="12.75" x14ac:dyDescent="0.2">
      <c r="A3" s="2" t="s">
        <v>5</v>
      </c>
      <c r="B3" s="2" t="s">
        <v>7</v>
      </c>
      <c r="C3" s="2">
        <v>1200</v>
      </c>
      <c r="D3" s="3">
        <v>8.5</v>
      </c>
      <c r="E3" s="5">
        <f t="shared" ref="E3:E11" si="0">C3*D3</f>
        <v>10200</v>
      </c>
      <c r="F3" s="5"/>
      <c r="G3" s="5"/>
      <c r="L3" s="2"/>
    </row>
    <row r="4" spans="1:29" ht="12.75" x14ac:dyDescent="0.2">
      <c r="A4" s="2" t="s">
        <v>8</v>
      </c>
      <c r="B4" s="2" t="s">
        <v>9</v>
      </c>
      <c r="C4" s="2">
        <v>800</v>
      </c>
      <c r="D4" s="3">
        <v>12.25</v>
      </c>
      <c r="E4" s="5">
        <f t="shared" si="0"/>
        <v>9800</v>
      </c>
      <c r="F4" s="5"/>
      <c r="G4" s="5"/>
      <c r="L4" s="2"/>
    </row>
    <row r="5" spans="1:29" ht="12.75" x14ac:dyDescent="0.2">
      <c r="A5" s="2" t="s">
        <v>5</v>
      </c>
      <c r="B5" s="2" t="s">
        <v>10</v>
      </c>
      <c r="C5" s="2">
        <v>300</v>
      </c>
      <c r="D5" s="3">
        <v>25</v>
      </c>
      <c r="E5" s="5">
        <f t="shared" si="0"/>
        <v>7500</v>
      </c>
      <c r="F5" s="5"/>
      <c r="G5" s="5"/>
      <c r="L5" s="2"/>
    </row>
    <row r="6" spans="1:29" ht="12.75" x14ac:dyDescent="0.2">
      <c r="A6" s="2" t="s">
        <v>8</v>
      </c>
      <c r="B6" s="2" t="s">
        <v>11</v>
      </c>
      <c r="C6" s="2">
        <v>1500</v>
      </c>
      <c r="D6" s="3">
        <v>6.5</v>
      </c>
      <c r="E6" s="5">
        <f t="shared" si="0"/>
        <v>9750</v>
      </c>
      <c r="F6" s="5"/>
      <c r="G6" s="5"/>
      <c r="L6" s="2"/>
    </row>
    <row r="7" spans="1:29" ht="12.75" x14ac:dyDescent="0.2">
      <c r="A7" s="2" t="s">
        <v>12</v>
      </c>
      <c r="B7" s="2" t="s">
        <v>13</v>
      </c>
      <c r="C7" s="2">
        <v>700</v>
      </c>
      <c r="D7" s="3">
        <v>18.75</v>
      </c>
      <c r="E7" s="5">
        <f t="shared" si="0"/>
        <v>13125</v>
      </c>
      <c r="F7" s="5"/>
      <c r="G7" s="5"/>
      <c r="L7" s="2"/>
    </row>
    <row r="8" spans="1:29" ht="12.75" x14ac:dyDescent="0.2">
      <c r="A8" s="2" t="s">
        <v>12</v>
      </c>
      <c r="B8" s="2" t="s">
        <v>14</v>
      </c>
      <c r="C8" s="2">
        <v>900</v>
      </c>
      <c r="D8" s="3">
        <v>14</v>
      </c>
      <c r="E8" s="5">
        <f t="shared" si="0"/>
        <v>12600</v>
      </c>
      <c r="F8" s="5"/>
      <c r="G8" s="5"/>
      <c r="L8" s="2"/>
    </row>
    <row r="9" spans="1:29" ht="12.75" x14ac:dyDescent="0.2">
      <c r="A9" s="2" t="s">
        <v>8</v>
      </c>
      <c r="B9" s="2" t="s">
        <v>15</v>
      </c>
      <c r="C9" s="2">
        <v>1100</v>
      </c>
      <c r="D9" s="3">
        <v>10.5</v>
      </c>
      <c r="E9" s="5">
        <f t="shared" si="0"/>
        <v>11550</v>
      </c>
      <c r="F9" s="5"/>
      <c r="G9" s="5"/>
      <c r="L9" s="2"/>
    </row>
    <row r="10" spans="1:29" ht="12.75" x14ac:dyDescent="0.2">
      <c r="A10" s="2" t="s">
        <v>12</v>
      </c>
      <c r="B10" s="2" t="s">
        <v>16</v>
      </c>
      <c r="C10" s="2">
        <v>600</v>
      </c>
      <c r="D10" s="3">
        <v>20</v>
      </c>
      <c r="E10" s="5">
        <f t="shared" si="0"/>
        <v>12000</v>
      </c>
      <c r="F10" s="5"/>
      <c r="G10" s="5"/>
      <c r="L10" s="2"/>
    </row>
    <row r="11" spans="1:29" ht="12.75" x14ac:dyDescent="0.2">
      <c r="A11" s="2" t="s">
        <v>17</v>
      </c>
      <c r="B11" s="2" t="s">
        <v>18</v>
      </c>
      <c r="C11" s="2">
        <v>1000</v>
      </c>
      <c r="D11" s="3">
        <v>13.5</v>
      </c>
      <c r="E11" s="5">
        <f t="shared" si="0"/>
        <v>13500</v>
      </c>
      <c r="F11" s="5"/>
      <c r="G11" s="5"/>
      <c r="L11" s="2"/>
    </row>
    <row r="16" spans="1:29" ht="15.75" customHeight="1" x14ac:dyDescent="0.25">
      <c r="A16" s="1" t="s">
        <v>0</v>
      </c>
      <c r="B16" s="4" t="s">
        <v>19</v>
      </c>
      <c r="C16" s="4" t="s">
        <v>20</v>
      </c>
    </row>
    <row r="17" spans="1:3" ht="15.75" customHeight="1" x14ac:dyDescent="0.2">
      <c r="A17" s="2" t="s">
        <v>5</v>
      </c>
      <c r="B17">
        <f>SUMIF(A$2:A$11,A17,C$2:C$11)</f>
        <v>2000</v>
      </c>
      <c r="C17" s="5">
        <f>SUMIF(A$2:$A11,A17,E$2:E$11)</f>
        <v>25575</v>
      </c>
    </row>
    <row r="18" spans="1:3" ht="15.75" customHeight="1" x14ac:dyDescent="0.2">
      <c r="A18" s="2" t="s">
        <v>8</v>
      </c>
      <c r="B18">
        <f>SUMIF(A$2:A$11,A18,C$2:C$11)</f>
        <v>3400</v>
      </c>
      <c r="C18" s="5">
        <f ca="1">SUMIF(A$2:$A12,A18,E$2:E$11)</f>
        <v>31100</v>
      </c>
    </row>
    <row r="19" spans="1:3" ht="15.75" customHeight="1" x14ac:dyDescent="0.2">
      <c r="A19" s="2" t="s">
        <v>12</v>
      </c>
      <c r="B19">
        <f>SUMIF(A$2:A$11,A19,C$2:C$11)</f>
        <v>2200</v>
      </c>
      <c r="C19" s="5">
        <f ca="1">SUMIF(A$2:$A13,A19,E$2:E$11)</f>
        <v>37725</v>
      </c>
    </row>
    <row r="20" spans="1:3" ht="15.75" customHeight="1" x14ac:dyDescent="0.2">
      <c r="A20" s="2" t="s">
        <v>17</v>
      </c>
      <c r="B20">
        <f>SUMIF(A$2:A$11,A20,C$2:C$11)</f>
        <v>1000</v>
      </c>
      <c r="C20" s="5">
        <f ca="1">SUMIF(A$2:$A14,A20,E$2:E$11)</f>
        <v>13500</v>
      </c>
    </row>
  </sheetData>
  <pageMargins left="0.19685039370078741" right="0.19685039370078741" top="0.39370078740157483" bottom="0.39370078740157483" header="0.11811023622047245" footer="0.31496062992125984"/>
  <pageSetup paperSize="9" orientation="portrait" r:id="rId1"/>
  <headerFooter>
    <oddHeader>&amp;CSpese Recenti con grafici</oddHeader>
    <oddFooter>&amp;CPagina &amp;P di &amp;N&amp;R&amp;D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</dc:creator>
  <cp:lastModifiedBy>Antonino Lanza</cp:lastModifiedBy>
  <cp:lastPrinted>2025-12-16T12:22:57Z</cp:lastPrinted>
  <dcterms:created xsi:type="dcterms:W3CDTF">2025-12-16T11:26:42Z</dcterms:created>
  <dcterms:modified xsi:type="dcterms:W3CDTF">2025-12-16T12:24:48Z</dcterms:modified>
</cp:coreProperties>
</file>